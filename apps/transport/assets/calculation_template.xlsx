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73194ab6a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" sheetId="1" r:id="Rd66eacdf64274c71"/>
    <x:sheet xmlns:r="http://schemas.openxmlformats.org/officeDocument/2006/relationships" name="Rute" sheetId="2" r:id="R6d7b98a5a3f2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#,##0.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b/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D9"/>
      </x:patternFill>
    </x:fill>
    <x:fill>
      <x:patternFill patternType="solid">
        <x:fgColor rgb="FF82478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2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2" fontId="2" fillId="2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64f37140b4213" /><Relationship Type="http://schemas.openxmlformats.org/officeDocument/2006/relationships/theme" Target="/xl/theme/theme1.xml" Id="R97c68fadaa6f402a" /><Relationship Type="http://schemas.openxmlformats.org/officeDocument/2006/relationships/sharedStrings" Target="/xl/sharedStrings.xml" Id="R1941e6c4cd8e49d5" /><Relationship Type="http://schemas.openxmlformats.org/officeDocument/2006/relationships/worksheet" Target="/xl/worksheets/sheet1.xml" Id="Rd66eacdf64274c71" /><Relationship Type="http://schemas.openxmlformats.org/officeDocument/2006/relationships/worksheet" Target="/xl/worksheets/sheet2.xml" Id="R6d7b98a5a3f2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6" hidden="0" customWidth="1"/>
    <x:col min="2" max="2" width="4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2"/>
      <x:c r="B1" s="4" t="str">
        <x:v>FlowerMoon Transport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 t="str">
        <x:v>Tarif încărcat (EUR/km)</x:v>
      </x:c>
      <x:c r="C3" s="6" t="n">
        <x:v>0</x:v>
      </x:c>
      <x:c r="D3" s="2"/>
      <x:c r="E3" s="2" t="str">
        <x:v>Costuri fixe: AST, escortă, taxe, macara și alte costuri per cursă.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 t="str">
        <x:v>Tarif gol (EUR/km)</x:v>
      </x:c>
      <x:c r="C4" s="6" t="n">
        <x:v>0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/>
      <x:c r="B5" s="2" t="str">
        <x:v>Costuri fixe (EUR/cursă)</x:v>
      </x:c>
      <x:c r="C5" s="6" t="n">
        <x:v>0</x:v>
      </x:c>
      <x:c r="D5" s="2"/>
      <x:c r="E5" s="2" t="str">
        <x:v>Galben = ipoteze editabile. Un produs pe cursă. Returul se confirmă separat.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 t="str">
        <x:v>Adaos la cost</x:v>
      </x:c>
      <x:c r="C6" s="7" t="n">
        <x:v>0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 t="str">
        <x:v>TVA</x:v>
      </x:c>
      <x:c r="C7" s="7" t="n">
        <x:v>0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8" t="str">
        <x:v>TOTAL EUR</x:v>
      </x:c>
      <x:c r="C9" s="9" t="str">
        <x:f>IF(C3&lt;=0,"Tarif lipsă",SUM(L13:L112))</x:f>
        <x:v>Tarif lipsă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8" customHeight="1">
      <x:c r="A12" s="13" t="str">
        <x:v>Nr.</x:v>
      </x:c>
      <x:c r="B12" s="13" t="str">
        <x:v>Destinație</x:v>
      </x:c>
      <x:c r="C12" s="13" t="str">
        <x:v>km sens unic</x:v>
      </x:c>
      <x:c r="D12" s="13" t="str">
        <x:v>Produse</x:v>
      </x:c>
      <x:c r="E12" s="13" t="str">
        <x:v>Curse</x:v>
      </x:c>
      <x:c r="F12" s="13" t="str">
        <x:v>Retur km/cursă</x:v>
      </x:c>
      <x:c r="G12" s="13" t="str">
        <x:v>Poziționare km/cursă</x:v>
      </x:c>
      <x:c r="H12" s="13" t="str">
        <x:v>km facturați</x:v>
      </x:c>
      <x:c r="I12" s="13" t="str">
        <x:v>Cost EUR</x:v>
      </x:c>
      <x:c r="J12" s="13" t="str">
        <x:v>Net EUR</x:v>
      </x:c>
      <x:c r="K12" s="13" t="str">
        <x:v>TVA EUR</x:v>
      </x:c>
      <x:c r="L12" s="13" t="str">
        <x:v>Total EUR</x:v>
      </x:c>
      <x:c r="M12" s="2"/>
      <x:c r="N12" s="2"/>
      <x:c r="O12" s="2"/>
      <x:c r="P12" s="2"/>
      <x:c r="Q12" s="2"/>
    </x:row>
    <x:row r="13" ht="23" customHeight="1">
      <x:c r="A13" s="2" t="str">
        <x:f>IF(Rute!A5="","",Rute!A5)</x:f>
      </x:c>
      <x:c r="B13" s="2" t="str">
        <x:f>IF(A13="","",Rute!E5)</x:f>
      </x:c>
      <x:c r="C13" s="14" t="str">
        <x:f>IF(A13="","",Rute!F5)</x:f>
      </x:c>
      <x:c r="D13" s="5"/>
      <x:c r="E13" s="2" t="str">
        <x:f>IF(A13="","",D13)</x:f>
      </x:c>
      <x:c r="F13" s="15"/>
      <x:c r="G13" s="15"/>
      <x:c r="H13" s="16" t="str">
        <x:f>IF(A13="","",(C13+F13+G13)*E13)</x:f>
      </x:c>
      <x:c r="I13" s="16" t="str">
        <x:f>IF(OR(A13="",$C$3&lt;=0),"",ROUND((C13*$C$3+(F13+G13)*$C$4+$C$5)*E13,2))</x:f>
      </x:c>
      <x:c r="J13" s="16" t="str">
        <x:f>IF(I13="","",ROUND(I13*(1+$C$6),2))</x:f>
      </x:c>
      <x:c r="K13" s="16" t="str">
        <x:f>IF(J13="","",ROUND(J13*$C$7,2))</x:f>
      </x:c>
      <x:c r="L13" s="16" t="str">
        <x:f>IF(J13="","",J13+K13)</x:f>
      </x:c>
      <x:c r="M13" s="2"/>
      <x:c r="N13" s="2"/>
      <x:c r="O13" s="2"/>
      <x:c r="P13" s="2"/>
      <x:c r="Q13" s="2"/>
    </x:row>
    <x:row r="14" ht="23" customHeight="1">
      <x:c r="A14" s="2" t="str">
        <x:f>IF(Rute!A6="","",Rute!A6)</x:f>
      </x:c>
      <x:c r="B14" s="2" t="str">
        <x:f>IF(A14="","",Rute!E6)</x:f>
      </x:c>
      <x:c r="C14" s="14" t="str">
        <x:f>IF(A14="","",Rute!F6)</x:f>
      </x:c>
      <x:c r="D14" s="5"/>
      <x:c r="E14" s="2" t="str">
        <x:f>IF(A14="","",D14)</x:f>
      </x:c>
      <x:c r="F14" s="15"/>
      <x:c r="G14" s="15"/>
      <x:c r="H14" s="16" t="str">
        <x:f>IF(A14="","",(C14+F14+G14)*E14)</x:f>
      </x:c>
      <x:c r="I14" s="16" t="str">
        <x:f>IF(OR(A14="",$C$3&lt;=0),"",ROUND((C14*$C$3+(F14+G14)*$C$4+$C$5)*E14,2))</x:f>
      </x:c>
      <x:c r="J14" s="16" t="str">
        <x:f>IF(I14="","",ROUND(I14*(1+$C$6),2))</x:f>
      </x:c>
      <x:c r="K14" s="16" t="str">
        <x:f>IF(J14="","",ROUND(J14*$C$7,2))</x:f>
      </x:c>
      <x:c r="L14" s="16" t="str">
        <x:f>IF(J14="","",J14+K14)</x:f>
      </x:c>
      <x:c r="M14" s="2"/>
      <x:c r="N14" s="2"/>
      <x:c r="O14" s="2"/>
      <x:c r="P14" s="2"/>
      <x:c r="Q14" s="2"/>
    </x:row>
    <x:row r="15" ht="23" customHeight="1">
      <x:c r="A15" s="2" t="str">
        <x:f>IF(Rute!A7="","",Rute!A7)</x:f>
      </x:c>
      <x:c r="B15" s="2" t="str">
        <x:f>IF(A15="","",Rute!E7)</x:f>
      </x:c>
      <x:c r="C15" s="14" t="str">
        <x:f>IF(A15="","",Rute!F7)</x:f>
      </x:c>
      <x:c r="D15" s="5"/>
      <x:c r="E15" s="2" t="str">
        <x:f>IF(A15="","",D15)</x:f>
      </x:c>
      <x:c r="F15" s="15"/>
      <x:c r="G15" s="15"/>
      <x:c r="H15" s="16" t="str">
        <x:f>IF(A15="","",(C15+F15+G15)*E15)</x:f>
      </x:c>
      <x:c r="I15" s="16" t="str">
        <x:f>IF(OR(A15="",$C$3&lt;=0),"",ROUND((C15*$C$3+(F15+G15)*$C$4+$C$5)*E15,2))</x:f>
      </x:c>
      <x:c r="J15" s="16" t="str">
        <x:f>IF(I15="","",ROUND(I15*(1+$C$6),2))</x:f>
      </x:c>
      <x:c r="K15" s="16" t="str">
        <x:f>IF(J15="","",ROUND(J15*$C$7,2))</x:f>
      </x:c>
      <x:c r="L15" s="16" t="str">
        <x:f>IF(J15="","",J15+K15)</x:f>
      </x:c>
      <x:c r="M15" s="2"/>
      <x:c r="N15" s="2"/>
      <x:c r="O15" s="2"/>
      <x:c r="P15" s="2"/>
      <x:c r="Q15" s="2"/>
    </x:row>
    <x:row r="16" ht="23" customHeight="1">
      <x:c r="A16" s="2" t="str">
        <x:f>IF(Rute!A8="","",Rute!A8)</x:f>
      </x:c>
      <x:c r="B16" s="2" t="str">
        <x:f>IF(A16="","",Rute!E8)</x:f>
      </x:c>
      <x:c r="C16" s="14" t="str">
        <x:f>IF(A16="","",Rute!F8)</x:f>
      </x:c>
      <x:c r="D16" s="5"/>
      <x:c r="E16" s="2" t="str">
        <x:f>IF(A16="","",D16)</x:f>
      </x:c>
      <x:c r="F16" s="15"/>
      <x:c r="G16" s="15"/>
      <x:c r="H16" s="16" t="str">
        <x:f>IF(A16="","",(C16+F16+G16)*E16)</x:f>
      </x:c>
      <x:c r="I16" s="16" t="str">
        <x:f>IF(OR(A16="",$C$3&lt;=0),"",ROUND((C16*$C$3+(F16+G16)*$C$4+$C$5)*E16,2))</x:f>
      </x:c>
      <x:c r="J16" s="16" t="str">
        <x:f>IF(I16="","",ROUND(I16*(1+$C$6),2))</x:f>
      </x:c>
      <x:c r="K16" s="16" t="str">
        <x:f>IF(J16="","",ROUND(J16*$C$7,2))</x:f>
      </x:c>
      <x:c r="L16" s="16" t="str">
        <x:f>IF(J16="","",J16+K16)</x:f>
      </x:c>
      <x:c r="M16" s="2"/>
      <x:c r="N16" s="2"/>
      <x:c r="O16" s="2"/>
      <x:c r="P16" s="2"/>
      <x:c r="Q16" s="2"/>
    </x:row>
    <x:row r="17" ht="23" customHeight="1">
      <x:c r="A17" s="2" t="str">
        <x:f>IF(Rute!A9="","",Rute!A9)</x:f>
      </x:c>
      <x:c r="B17" s="2" t="str">
        <x:f>IF(A17="","",Rute!E9)</x:f>
      </x:c>
      <x:c r="C17" s="14" t="str">
        <x:f>IF(A17="","",Rute!F9)</x:f>
      </x:c>
      <x:c r="D17" s="5"/>
      <x:c r="E17" s="2" t="str">
        <x:f>IF(A17="","",D17)</x:f>
      </x:c>
      <x:c r="F17" s="15"/>
      <x:c r="G17" s="15"/>
      <x:c r="H17" s="16" t="str">
        <x:f>IF(A17="","",(C17+F17+G17)*E17)</x:f>
      </x:c>
      <x:c r="I17" s="16" t="str">
        <x:f>IF(OR(A17="",$C$3&lt;=0),"",ROUND((C17*$C$3+(F17+G17)*$C$4+$C$5)*E17,2))</x:f>
      </x:c>
      <x:c r="J17" s="16" t="str">
        <x:f>IF(I17="","",ROUND(I17*(1+$C$6),2))</x:f>
      </x:c>
      <x:c r="K17" s="16" t="str">
        <x:f>IF(J17="","",ROUND(J17*$C$7,2))</x:f>
      </x:c>
      <x:c r="L17" s="16" t="str">
        <x:f>IF(J17="","",J17+K17)</x:f>
      </x:c>
      <x:c r="M17" s="2"/>
      <x:c r="N17" s="2"/>
      <x:c r="O17" s="2"/>
      <x:c r="P17" s="2"/>
      <x:c r="Q17" s="2"/>
    </x:row>
    <x:row r="18" ht="23" customHeight="1">
      <x:c r="A18" s="2" t="str">
        <x:f>IF(Rute!A10="","",Rute!A10)</x:f>
      </x:c>
      <x:c r="B18" s="2" t="str">
        <x:f>IF(A18="","",Rute!E10)</x:f>
      </x:c>
      <x:c r="C18" s="14" t="str">
        <x:f>IF(A18="","",Rute!F10)</x:f>
      </x:c>
      <x:c r="D18" s="5"/>
      <x:c r="E18" s="2" t="str">
        <x:f>IF(A18="","",D18)</x:f>
      </x:c>
      <x:c r="F18" s="15"/>
      <x:c r="G18" s="15"/>
      <x:c r="H18" s="16" t="str">
        <x:f>IF(A18="","",(C18+F18+G18)*E18)</x:f>
      </x:c>
      <x:c r="I18" s="16" t="str">
        <x:f>IF(OR(A18="",$C$3&lt;=0),"",ROUND((C18*$C$3+(F18+G18)*$C$4+$C$5)*E18,2))</x:f>
      </x:c>
      <x:c r="J18" s="16" t="str">
        <x:f>IF(I18="","",ROUND(I18*(1+$C$6),2))</x:f>
      </x:c>
      <x:c r="K18" s="16" t="str">
        <x:f>IF(J18="","",ROUND(J18*$C$7,2))</x:f>
      </x:c>
      <x:c r="L18" s="16" t="str">
        <x:f>IF(J18="","",J18+K18)</x:f>
      </x:c>
      <x:c r="M18" s="2"/>
      <x:c r="N18" s="2"/>
      <x:c r="O18" s="2"/>
      <x:c r="P18" s="2"/>
      <x:c r="Q18" s="2"/>
    </x:row>
    <x:row r="19" ht="23" customHeight="1">
      <x:c r="A19" s="2" t="str">
        <x:f>IF(Rute!A11="","",Rute!A11)</x:f>
      </x:c>
      <x:c r="B19" s="2" t="str">
        <x:f>IF(A19="","",Rute!E11)</x:f>
      </x:c>
      <x:c r="C19" s="14" t="str">
        <x:f>IF(A19="","",Rute!F11)</x:f>
      </x:c>
      <x:c r="D19" s="5"/>
      <x:c r="E19" s="2" t="str">
        <x:f>IF(A19="","",D19)</x:f>
      </x:c>
      <x:c r="F19" s="15"/>
      <x:c r="G19" s="15"/>
      <x:c r="H19" s="16" t="str">
        <x:f>IF(A19="","",(C19+F19+G19)*E19)</x:f>
      </x:c>
      <x:c r="I19" s="16" t="str">
        <x:f>IF(OR(A19="",$C$3&lt;=0),"",ROUND((C19*$C$3+(F19+G19)*$C$4+$C$5)*E19,2))</x:f>
      </x:c>
      <x:c r="J19" s="16" t="str">
        <x:f>IF(I19="","",ROUND(I19*(1+$C$6),2))</x:f>
      </x:c>
      <x:c r="K19" s="16" t="str">
        <x:f>IF(J19="","",ROUND(J19*$C$7,2))</x:f>
      </x:c>
      <x:c r="L19" s="16" t="str">
        <x:f>IF(J19="","",J19+K19)</x:f>
      </x:c>
      <x:c r="M19" s="2"/>
      <x:c r="N19" s="2"/>
      <x:c r="O19" s="2"/>
      <x:c r="P19" s="2"/>
      <x:c r="Q19" s="2"/>
    </x:row>
    <x:row r="20" ht="23" customHeight="1">
      <x:c r="A20" s="2" t="str">
        <x:f>IF(Rute!A12="","",Rute!A12)</x:f>
      </x:c>
      <x:c r="B20" s="2" t="str">
        <x:f>IF(A20="","",Rute!E12)</x:f>
      </x:c>
      <x:c r="C20" s="14" t="str">
        <x:f>IF(A20="","",Rute!F12)</x:f>
      </x:c>
      <x:c r="D20" s="5"/>
      <x:c r="E20" s="2" t="str">
        <x:f>IF(A20="","",D20)</x:f>
      </x:c>
      <x:c r="F20" s="15"/>
      <x:c r="G20" s="15"/>
      <x:c r="H20" s="16" t="str">
        <x:f>IF(A20="","",(C20+F20+G20)*E20)</x:f>
      </x:c>
      <x:c r="I20" s="16" t="str">
        <x:f>IF(OR(A20="",$C$3&lt;=0),"",ROUND((C20*$C$3+(F20+G20)*$C$4+$C$5)*E20,2))</x:f>
      </x:c>
      <x:c r="J20" s="16" t="str">
        <x:f>IF(I20="","",ROUND(I20*(1+$C$6),2))</x:f>
      </x:c>
      <x:c r="K20" s="16" t="str">
        <x:f>IF(J20="","",ROUND(J20*$C$7,2))</x:f>
      </x:c>
      <x:c r="L20" s="16" t="str">
        <x:f>IF(J20="","",J20+K20)</x:f>
      </x:c>
      <x:c r="M20" s="2"/>
      <x:c r="N20" s="2"/>
      <x:c r="O20" s="2"/>
      <x:c r="P20" s="2"/>
      <x:c r="Q20" s="2"/>
    </x:row>
    <x:row r="21" ht="23" customHeight="1">
      <x:c r="A21" s="2" t="str">
        <x:f>IF(Rute!A13="","",Rute!A13)</x:f>
      </x:c>
      <x:c r="B21" s="2" t="str">
        <x:f>IF(A21="","",Rute!E13)</x:f>
      </x:c>
      <x:c r="C21" s="14" t="str">
        <x:f>IF(A21="","",Rute!F13)</x:f>
      </x:c>
      <x:c r="D21" s="5"/>
      <x:c r="E21" s="2" t="str">
        <x:f>IF(A21="","",D21)</x:f>
      </x:c>
      <x:c r="F21" s="15"/>
      <x:c r="G21" s="15"/>
      <x:c r="H21" s="16" t="str">
        <x:f>IF(A21="","",(C21+F21+G21)*E21)</x:f>
      </x:c>
      <x:c r="I21" s="16" t="str">
        <x:f>IF(OR(A21="",$C$3&lt;=0),"",ROUND((C21*$C$3+(F21+G21)*$C$4+$C$5)*E21,2))</x:f>
      </x:c>
      <x:c r="J21" s="16" t="str">
        <x:f>IF(I21="","",ROUND(I21*(1+$C$6),2))</x:f>
      </x:c>
      <x:c r="K21" s="16" t="str">
        <x:f>IF(J21="","",ROUND(J21*$C$7,2))</x:f>
      </x:c>
      <x:c r="L21" s="16" t="str">
        <x:f>IF(J21="","",J21+K21)</x:f>
      </x:c>
      <x:c r="M21" s="2"/>
      <x:c r="N21" s="2"/>
      <x:c r="O21" s="2"/>
      <x:c r="P21" s="2"/>
      <x:c r="Q21" s="2"/>
    </x:row>
    <x:row r="22" ht="23" customHeight="1">
      <x:c r="A22" s="2" t="str">
        <x:f>IF(Rute!A14="","",Rute!A14)</x:f>
      </x:c>
      <x:c r="B22" s="2" t="str">
        <x:f>IF(A22="","",Rute!E14)</x:f>
      </x:c>
      <x:c r="C22" s="14" t="str">
        <x:f>IF(A22="","",Rute!F14)</x:f>
      </x:c>
      <x:c r="D22" s="5"/>
      <x:c r="E22" s="2" t="str">
        <x:f>IF(A22="","",D22)</x:f>
      </x:c>
      <x:c r="F22" s="15"/>
      <x:c r="G22" s="15"/>
      <x:c r="H22" s="16" t="str">
        <x:f>IF(A22="","",(C22+F22+G22)*E22)</x:f>
      </x:c>
      <x:c r="I22" s="16" t="str">
        <x:f>IF(OR(A22="",$C$3&lt;=0),"",ROUND((C22*$C$3+(F22+G22)*$C$4+$C$5)*E22,2))</x:f>
      </x:c>
      <x:c r="J22" s="16" t="str">
        <x:f>IF(I22="","",ROUND(I22*(1+$C$6),2))</x:f>
      </x:c>
      <x:c r="K22" s="16" t="str">
        <x:f>IF(J22="","",ROUND(J22*$C$7,2))</x:f>
      </x:c>
      <x:c r="L22" s="16" t="str">
        <x:f>IF(J22="","",J22+K22)</x:f>
      </x:c>
      <x:c r="M22" s="2"/>
      <x:c r="N22" s="2"/>
      <x:c r="O22" s="2"/>
      <x:c r="P22" s="2"/>
      <x:c r="Q22" s="2"/>
    </x:row>
    <x:row r="23" ht="23" customHeight="1">
      <x:c r="A23" s="2" t="str">
        <x:f>IF(Rute!A15="","",Rute!A15)</x:f>
      </x:c>
      <x:c r="B23" s="2" t="str">
        <x:f>IF(A23="","",Rute!E15)</x:f>
      </x:c>
      <x:c r="C23" s="14" t="str">
        <x:f>IF(A23="","",Rute!F15)</x:f>
      </x:c>
      <x:c r="D23" s="5"/>
      <x:c r="E23" s="2" t="str">
        <x:f>IF(A23="","",D23)</x:f>
      </x:c>
      <x:c r="F23" s="15"/>
      <x:c r="G23" s="15"/>
      <x:c r="H23" s="16" t="str">
        <x:f>IF(A23="","",(C23+F23+G23)*E23)</x:f>
      </x:c>
      <x:c r="I23" s="16" t="str">
        <x:f>IF(OR(A23="",$C$3&lt;=0),"",ROUND((C23*$C$3+(F23+G23)*$C$4+$C$5)*E23,2))</x:f>
      </x:c>
      <x:c r="J23" s="16" t="str">
        <x:f>IF(I23="","",ROUND(I23*(1+$C$6),2))</x:f>
      </x:c>
      <x:c r="K23" s="16" t="str">
        <x:f>IF(J23="","",ROUND(J23*$C$7,2))</x:f>
      </x:c>
      <x:c r="L23" s="16" t="str">
        <x:f>IF(J23="","",J23+K23)</x:f>
      </x:c>
      <x:c r="M23" s="2"/>
      <x:c r="N23" s="2"/>
      <x:c r="O23" s="2"/>
      <x:c r="P23" s="2"/>
      <x:c r="Q23" s="2"/>
    </x:row>
    <x:row r="24" ht="23" customHeight="1">
      <x:c r="A24" s="2" t="str">
        <x:f>IF(Rute!A16="","",Rute!A16)</x:f>
      </x:c>
      <x:c r="B24" s="2" t="str">
        <x:f>IF(A24="","",Rute!E16)</x:f>
      </x:c>
      <x:c r="C24" s="14" t="str">
        <x:f>IF(A24="","",Rute!F16)</x:f>
      </x:c>
      <x:c r="D24" s="5"/>
      <x:c r="E24" s="2" t="str">
        <x:f>IF(A24="","",D24)</x:f>
      </x:c>
      <x:c r="F24" s="15"/>
      <x:c r="G24" s="15"/>
      <x:c r="H24" s="16" t="str">
        <x:f>IF(A24="","",(C24+F24+G24)*E24)</x:f>
      </x:c>
      <x:c r="I24" s="16" t="str">
        <x:f>IF(OR(A24="",$C$3&lt;=0),"",ROUND((C24*$C$3+(F24+G24)*$C$4+$C$5)*E24,2))</x:f>
      </x:c>
      <x:c r="J24" s="16" t="str">
        <x:f>IF(I24="","",ROUND(I24*(1+$C$6),2))</x:f>
      </x:c>
      <x:c r="K24" s="16" t="str">
        <x:f>IF(J24="","",ROUND(J24*$C$7,2))</x:f>
      </x:c>
      <x:c r="L24" s="16" t="str">
        <x:f>IF(J24="","",J24+K24)</x:f>
      </x:c>
      <x:c r="M24" s="2"/>
      <x:c r="N24" s="2"/>
      <x:c r="O24" s="2"/>
      <x:c r="P24" s="2"/>
      <x:c r="Q24" s="2"/>
    </x:row>
    <x:row r="25" ht="23" customHeight="1">
      <x:c r="A25" s="2" t="str">
        <x:f>IF(Rute!A17="","",Rute!A17)</x:f>
      </x:c>
      <x:c r="B25" s="2" t="str">
        <x:f>IF(A25="","",Rute!E17)</x:f>
      </x:c>
      <x:c r="C25" s="14" t="str">
        <x:f>IF(A25="","",Rute!F17)</x:f>
      </x:c>
      <x:c r="D25" s="5"/>
      <x:c r="E25" s="2" t="str">
        <x:f>IF(A25="","",D25)</x:f>
      </x:c>
      <x:c r="F25" s="15"/>
      <x:c r="G25" s="15"/>
      <x:c r="H25" s="16" t="str">
        <x:f>IF(A25="","",(C25+F25+G25)*E25)</x:f>
      </x:c>
      <x:c r="I25" s="16" t="str">
        <x:f>IF(OR(A25="",$C$3&lt;=0),"",ROUND((C25*$C$3+(F25+G25)*$C$4+$C$5)*E25,2))</x:f>
      </x:c>
      <x:c r="J25" s="16" t="str">
        <x:f>IF(I25="","",ROUND(I25*(1+$C$6),2))</x:f>
      </x:c>
      <x:c r="K25" s="16" t="str">
        <x:f>IF(J25="","",ROUND(J25*$C$7,2))</x:f>
      </x:c>
      <x:c r="L25" s="16" t="str">
        <x:f>IF(J25="","",J25+K25)</x:f>
      </x:c>
      <x:c r="M25" s="2"/>
      <x:c r="N25" s="2"/>
      <x:c r="O25" s="2"/>
      <x:c r="P25" s="2"/>
      <x:c r="Q25" s="2"/>
    </x:row>
    <x:row r="26" ht="23" customHeight="1">
      <x:c r="A26" s="2" t="str">
        <x:f>IF(Rute!A18="","",Rute!A18)</x:f>
      </x:c>
      <x:c r="B26" s="2" t="str">
        <x:f>IF(A26="","",Rute!E18)</x:f>
      </x:c>
      <x:c r="C26" s="14" t="str">
        <x:f>IF(A26="","",Rute!F18)</x:f>
      </x:c>
      <x:c r="D26" s="5"/>
      <x:c r="E26" s="2" t="str">
        <x:f>IF(A26="","",D26)</x:f>
      </x:c>
      <x:c r="F26" s="15"/>
      <x:c r="G26" s="15"/>
      <x:c r="H26" s="16" t="str">
        <x:f>IF(A26="","",(C26+F26+G26)*E26)</x:f>
      </x:c>
      <x:c r="I26" s="16" t="str">
        <x:f>IF(OR(A26="",$C$3&lt;=0),"",ROUND((C26*$C$3+(F26+G26)*$C$4+$C$5)*E26,2))</x:f>
      </x:c>
      <x:c r="J26" s="16" t="str">
        <x:f>IF(I26="","",ROUND(I26*(1+$C$6),2))</x:f>
      </x:c>
      <x:c r="K26" s="16" t="str">
        <x:f>IF(J26="","",ROUND(J26*$C$7,2))</x:f>
      </x:c>
      <x:c r="L26" s="16" t="str">
        <x:f>IF(J26="","",J26+K26)</x:f>
      </x:c>
      <x:c r="M26" s="2"/>
      <x:c r="N26" s="2"/>
      <x:c r="O26" s="2"/>
      <x:c r="P26" s="2"/>
      <x:c r="Q26" s="2"/>
    </x:row>
    <x:row r="27" ht="23" customHeight="1">
      <x:c r="A27" s="2" t="str">
        <x:f>IF(Rute!A19="","",Rute!A19)</x:f>
      </x:c>
      <x:c r="B27" s="2" t="str">
        <x:f>IF(A27="","",Rute!E19)</x:f>
      </x:c>
      <x:c r="C27" s="14" t="str">
        <x:f>IF(A27="","",Rute!F19)</x:f>
      </x:c>
      <x:c r="D27" s="5"/>
      <x:c r="E27" s="2" t="str">
        <x:f>IF(A27="","",D27)</x:f>
      </x:c>
      <x:c r="F27" s="15"/>
      <x:c r="G27" s="15"/>
      <x:c r="H27" s="16" t="str">
        <x:f>IF(A27="","",(C27+F27+G27)*E27)</x:f>
      </x:c>
      <x:c r="I27" s="16" t="str">
        <x:f>IF(OR(A27="",$C$3&lt;=0),"",ROUND((C27*$C$3+(F27+G27)*$C$4+$C$5)*E27,2))</x:f>
      </x:c>
      <x:c r="J27" s="16" t="str">
        <x:f>IF(I27="","",ROUND(I27*(1+$C$6),2))</x:f>
      </x:c>
      <x:c r="K27" s="16" t="str">
        <x:f>IF(J27="","",ROUND(J27*$C$7,2))</x:f>
      </x:c>
      <x:c r="L27" s="16" t="str">
        <x:f>IF(J27="","",J27+K27)</x:f>
      </x:c>
      <x:c r="M27" s="2"/>
      <x:c r="N27" s="2"/>
      <x:c r="O27" s="2"/>
      <x:c r="P27" s="2"/>
      <x:c r="Q27" s="2"/>
    </x:row>
    <x:row r="28" ht="23" customHeight="1">
      <x:c r="A28" s="2" t="str">
        <x:f>IF(Rute!A20="","",Rute!A20)</x:f>
      </x:c>
      <x:c r="B28" s="2" t="str">
        <x:f>IF(A28="","",Rute!E20)</x:f>
      </x:c>
      <x:c r="C28" s="14" t="str">
        <x:f>IF(A28="","",Rute!F20)</x:f>
      </x:c>
      <x:c r="D28" s="5"/>
      <x:c r="E28" s="2" t="str">
        <x:f>IF(A28="","",D28)</x:f>
      </x:c>
      <x:c r="F28" s="15"/>
      <x:c r="G28" s="15"/>
      <x:c r="H28" s="16" t="str">
        <x:f>IF(A28="","",(C28+F28+G28)*E28)</x:f>
      </x:c>
      <x:c r="I28" s="16" t="str">
        <x:f>IF(OR(A28="",$C$3&lt;=0),"",ROUND((C28*$C$3+(F28+G28)*$C$4+$C$5)*E28,2))</x:f>
      </x:c>
      <x:c r="J28" s="16" t="str">
        <x:f>IF(I28="","",ROUND(I28*(1+$C$6),2))</x:f>
      </x:c>
      <x:c r="K28" s="16" t="str">
        <x:f>IF(J28="","",ROUND(J28*$C$7,2))</x:f>
      </x:c>
      <x:c r="L28" s="16" t="str">
        <x:f>IF(J28="","",J28+K28)</x:f>
      </x:c>
      <x:c r="M28" s="2"/>
      <x:c r="N28" s="2"/>
      <x:c r="O28" s="2"/>
      <x:c r="P28" s="2"/>
      <x:c r="Q28" s="2"/>
    </x:row>
    <x:row r="29" ht="23" customHeight="1">
      <x:c r="A29" s="2" t="str">
        <x:f>IF(Rute!A21="","",Rute!A21)</x:f>
      </x:c>
      <x:c r="B29" s="2" t="str">
        <x:f>IF(A29="","",Rute!E21)</x:f>
      </x:c>
      <x:c r="C29" s="14" t="str">
        <x:f>IF(A29="","",Rute!F21)</x:f>
      </x:c>
      <x:c r="D29" s="5"/>
      <x:c r="E29" s="2" t="str">
        <x:f>IF(A29="","",D29)</x:f>
      </x:c>
      <x:c r="F29" s="15"/>
      <x:c r="G29" s="15"/>
      <x:c r="H29" s="16" t="str">
        <x:f>IF(A29="","",(C29+F29+G29)*E29)</x:f>
      </x:c>
      <x:c r="I29" s="16" t="str">
        <x:f>IF(OR(A29="",$C$3&lt;=0),"",ROUND((C29*$C$3+(F29+G29)*$C$4+$C$5)*E29,2))</x:f>
      </x:c>
      <x:c r="J29" s="16" t="str">
        <x:f>IF(I29="","",ROUND(I29*(1+$C$6),2))</x:f>
      </x:c>
      <x:c r="K29" s="16" t="str">
        <x:f>IF(J29="","",ROUND(J29*$C$7,2))</x:f>
      </x:c>
      <x:c r="L29" s="16" t="str">
        <x:f>IF(J29="","",J29+K29)</x:f>
      </x:c>
      <x:c r="M29" s="2"/>
      <x:c r="N29" s="2"/>
      <x:c r="O29" s="2"/>
      <x:c r="P29" s="2"/>
      <x:c r="Q29" s="2"/>
    </x:row>
    <x:row r="30" ht="23" customHeight="1">
      <x:c r="A30" s="2" t="str">
        <x:f>IF(Rute!A22="","",Rute!A22)</x:f>
      </x:c>
      <x:c r="B30" s="2" t="str">
        <x:f>IF(A30="","",Rute!E22)</x:f>
      </x:c>
      <x:c r="C30" s="14" t="str">
        <x:f>IF(A30="","",Rute!F22)</x:f>
      </x:c>
      <x:c r="D30" s="5"/>
      <x:c r="E30" s="2" t="str">
        <x:f>IF(A30="","",D30)</x:f>
      </x:c>
      <x:c r="F30" s="15"/>
      <x:c r="G30" s="15"/>
      <x:c r="H30" s="16" t="str">
        <x:f>IF(A30="","",(C30+F30+G30)*E30)</x:f>
      </x:c>
      <x:c r="I30" s="16" t="str">
        <x:f>IF(OR(A30="",$C$3&lt;=0),"",ROUND((C30*$C$3+(F30+G30)*$C$4+$C$5)*E30,2))</x:f>
      </x:c>
      <x:c r="J30" s="16" t="str">
        <x:f>IF(I30="","",ROUND(I30*(1+$C$6),2))</x:f>
      </x:c>
      <x:c r="K30" s="16" t="str">
        <x:f>IF(J30="","",ROUND(J30*$C$7,2))</x:f>
      </x:c>
      <x:c r="L30" s="16" t="str">
        <x:f>IF(J30="","",J30+K30)</x:f>
      </x:c>
      <x:c r="M30" s="2"/>
      <x:c r="N30" s="2"/>
      <x:c r="O30" s="2"/>
      <x:c r="P30" s="2"/>
      <x:c r="Q30" s="2"/>
    </x:row>
    <x:row r="31" ht="23" customHeight="1">
      <x:c r="A31" s="2" t="str">
        <x:f>IF(Rute!A23="","",Rute!A23)</x:f>
      </x:c>
      <x:c r="B31" s="2" t="str">
        <x:f>IF(A31="","",Rute!E23)</x:f>
      </x:c>
      <x:c r="C31" s="14" t="str">
        <x:f>IF(A31="","",Rute!F23)</x:f>
      </x:c>
      <x:c r="D31" s="5"/>
      <x:c r="E31" s="2" t="str">
        <x:f>IF(A31="","",D31)</x:f>
      </x:c>
      <x:c r="F31" s="15"/>
      <x:c r="G31" s="15"/>
      <x:c r="H31" s="16" t="str">
        <x:f>IF(A31="","",(C31+F31+G31)*E31)</x:f>
      </x:c>
      <x:c r="I31" s="16" t="str">
        <x:f>IF(OR(A31="",$C$3&lt;=0),"",ROUND((C31*$C$3+(F31+G31)*$C$4+$C$5)*E31,2))</x:f>
      </x:c>
      <x:c r="J31" s="16" t="str">
        <x:f>IF(I31="","",ROUND(I31*(1+$C$6),2))</x:f>
      </x:c>
      <x:c r="K31" s="16" t="str">
        <x:f>IF(J31="","",ROUND(J31*$C$7,2))</x:f>
      </x:c>
      <x:c r="L31" s="16" t="str">
        <x:f>IF(J31="","",J31+K31)</x:f>
      </x:c>
      <x:c r="M31" s="2"/>
      <x:c r="N31" s="2"/>
      <x:c r="O31" s="2"/>
      <x:c r="P31" s="2"/>
      <x:c r="Q31" s="2"/>
    </x:row>
    <x:row r="32" ht="23" customHeight="1">
      <x:c r="A32" s="2" t="str">
        <x:f>IF(Rute!A24="","",Rute!A24)</x:f>
      </x:c>
      <x:c r="B32" s="2" t="str">
        <x:f>IF(A32="","",Rute!E24)</x:f>
      </x:c>
      <x:c r="C32" s="14" t="str">
        <x:f>IF(A32="","",Rute!F24)</x:f>
      </x:c>
      <x:c r="D32" s="5"/>
      <x:c r="E32" s="2" t="str">
        <x:f>IF(A32="","",D32)</x:f>
      </x:c>
      <x:c r="F32" s="15"/>
      <x:c r="G32" s="15"/>
      <x:c r="H32" s="16" t="str">
        <x:f>IF(A32="","",(C32+F32+G32)*E32)</x:f>
      </x:c>
      <x:c r="I32" s="16" t="str">
        <x:f>IF(OR(A32="",$C$3&lt;=0),"",ROUND((C32*$C$3+(F32+G32)*$C$4+$C$5)*E32,2))</x:f>
      </x:c>
      <x:c r="J32" s="16" t="str">
        <x:f>IF(I32="","",ROUND(I32*(1+$C$6),2))</x:f>
      </x:c>
      <x:c r="K32" s="16" t="str">
        <x:f>IF(J32="","",ROUND(J32*$C$7,2))</x:f>
      </x:c>
      <x:c r="L32" s="16" t="str">
        <x:f>IF(J32="","",J32+K32)</x:f>
      </x:c>
      <x:c r="M32" s="2"/>
      <x:c r="N32" s="2"/>
      <x:c r="O32" s="2"/>
      <x:c r="P32" s="2"/>
      <x:c r="Q32" s="2"/>
    </x:row>
    <x:row r="33" ht="23" customHeight="1">
      <x:c r="A33" s="2" t="str">
        <x:f>IF(Rute!A25="","",Rute!A25)</x:f>
      </x:c>
      <x:c r="B33" s="2" t="str">
        <x:f>IF(A33="","",Rute!E25)</x:f>
      </x:c>
      <x:c r="C33" s="14" t="str">
        <x:f>IF(A33="","",Rute!F25)</x:f>
      </x:c>
      <x:c r="D33" s="5"/>
      <x:c r="E33" s="2" t="str">
        <x:f>IF(A33="","",D33)</x:f>
      </x:c>
      <x:c r="F33" s="15"/>
      <x:c r="G33" s="15"/>
      <x:c r="H33" s="16" t="str">
        <x:f>IF(A33="","",(C33+F33+G33)*E33)</x:f>
      </x:c>
      <x:c r="I33" s="16" t="str">
        <x:f>IF(OR(A33="",$C$3&lt;=0),"",ROUND((C33*$C$3+(F33+G33)*$C$4+$C$5)*E33,2))</x:f>
      </x:c>
      <x:c r="J33" s="16" t="str">
        <x:f>IF(I33="","",ROUND(I33*(1+$C$6),2))</x:f>
      </x:c>
      <x:c r="K33" s="16" t="str">
        <x:f>IF(J33="","",ROUND(J33*$C$7,2))</x:f>
      </x:c>
      <x:c r="L33" s="16" t="str">
        <x:f>IF(J33="","",J33+K33)</x:f>
      </x:c>
      <x:c r="M33" s="2"/>
      <x:c r="N33" s="2"/>
      <x:c r="O33" s="2"/>
      <x:c r="P33" s="2"/>
      <x:c r="Q33" s="2"/>
    </x:row>
    <x:row r="34" ht="23" customHeight="1">
      <x:c r="A34" s="2" t="str">
        <x:f>IF(Rute!A26="","",Rute!A26)</x:f>
      </x:c>
      <x:c r="B34" s="2" t="str">
        <x:f>IF(A34="","",Rute!E26)</x:f>
      </x:c>
      <x:c r="C34" s="14" t="str">
        <x:f>IF(A34="","",Rute!F26)</x:f>
      </x:c>
      <x:c r="D34" s="5"/>
      <x:c r="E34" s="2" t="str">
        <x:f>IF(A34="","",D34)</x:f>
      </x:c>
      <x:c r="F34" s="15"/>
      <x:c r="G34" s="15"/>
      <x:c r="H34" s="16" t="str">
        <x:f>IF(A34="","",(C34+F34+G34)*E34)</x:f>
      </x:c>
      <x:c r="I34" s="16" t="str">
        <x:f>IF(OR(A34="",$C$3&lt;=0),"",ROUND((C34*$C$3+(F34+G34)*$C$4+$C$5)*E34,2))</x:f>
      </x:c>
      <x:c r="J34" s="16" t="str">
        <x:f>IF(I34="","",ROUND(I34*(1+$C$6),2))</x:f>
      </x:c>
      <x:c r="K34" s="16" t="str">
        <x:f>IF(J34="","",ROUND(J34*$C$7,2))</x:f>
      </x:c>
      <x:c r="L34" s="16" t="str">
        <x:f>IF(J34="","",J34+K34)</x:f>
      </x:c>
      <x:c r="M34" s="2"/>
      <x:c r="N34" s="2"/>
      <x:c r="O34" s="2"/>
      <x:c r="P34" s="2"/>
      <x:c r="Q34" s="2"/>
    </x:row>
    <x:row r="35" ht="23" customHeight="1">
      <x:c r="A35" s="2" t="str">
        <x:f>IF(Rute!A27="","",Rute!A27)</x:f>
      </x:c>
      <x:c r="B35" s="2" t="str">
        <x:f>IF(A35="","",Rute!E27)</x:f>
      </x:c>
      <x:c r="C35" s="14" t="str">
        <x:f>IF(A35="","",Rute!F27)</x:f>
      </x:c>
      <x:c r="D35" s="5"/>
      <x:c r="E35" s="2" t="str">
        <x:f>IF(A35="","",D35)</x:f>
      </x:c>
      <x:c r="F35" s="15"/>
      <x:c r="G35" s="15"/>
      <x:c r="H35" s="16" t="str">
        <x:f>IF(A35="","",(C35+F35+G35)*E35)</x:f>
      </x:c>
      <x:c r="I35" s="16" t="str">
        <x:f>IF(OR(A35="",$C$3&lt;=0),"",ROUND((C35*$C$3+(F35+G35)*$C$4+$C$5)*E35,2))</x:f>
      </x:c>
      <x:c r="J35" s="16" t="str">
        <x:f>IF(I35="","",ROUND(I35*(1+$C$6),2))</x:f>
      </x:c>
      <x:c r="K35" s="16" t="str">
        <x:f>IF(J35="","",ROUND(J35*$C$7,2))</x:f>
      </x:c>
      <x:c r="L35" s="16" t="str">
        <x:f>IF(J35="","",J35+K35)</x:f>
      </x:c>
      <x:c r="M35" s="2"/>
      <x:c r="N35" s="2"/>
      <x:c r="O35" s="2"/>
      <x:c r="P35" s="2"/>
      <x:c r="Q35" s="2"/>
    </x:row>
    <x:row r="36" ht="23" customHeight="1">
      <x:c r="A36" s="2" t="str">
        <x:f>IF(Rute!A28="","",Rute!A28)</x:f>
      </x:c>
      <x:c r="B36" s="2" t="str">
        <x:f>IF(A36="","",Rute!E28)</x:f>
      </x:c>
      <x:c r="C36" s="14" t="str">
        <x:f>IF(A36="","",Rute!F28)</x:f>
      </x:c>
      <x:c r="D36" s="5"/>
      <x:c r="E36" s="2" t="str">
        <x:f>IF(A36="","",D36)</x:f>
      </x:c>
      <x:c r="F36" s="15"/>
      <x:c r="G36" s="15"/>
      <x:c r="H36" s="16" t="str">
        <x:f>IF(A36="","",(C36+F36+G36)*E36)</x:f>
      </x:c>
      <x:c r="I36" s="16" t="str">
        <x:f>IF(OR(A36="",$C$3&lt;=0),"",ROUND((C36*$C$3+(F36+G36)*$C$4+$C$5)*E36,2))</x:f>
      </x:c>
      <x:c r="J36" s="16" t="str">
        <x:f>IF(I36="","",ROUND(I36*(1+$C$6),2))</x:f>
      </x:c>
      <x:c r="K36" s="16" t="str">
        <x:f>IF(J36="","",ROUND(J36*$C$7,2))</x:f>
      </x:c>
      <x:c r="L36" s="16" t="str">
        <x:f>IF(J36="","",J36+K36)</x:f>
      </x:c>
      <x:c r="M36" s="2"/>
      <x:c r="N36" s="2"/>
      <x:c r="O36" s="2"/>
      <x:c r="P36" s="2"/>
      <x:c r="Q36" s="2"/>
    </x:row>
    <x:row r="37" ht="23" customHeight="1">
      <x:c r="A37" s="2" t="str">
        <x:f>IF(Rute!A29="","",Rute!A29)</x:f>
      </x:c>
      <x:c r="B37" s="2" t="str">
        <x:f>IF(A37="","",Rute!E29)</x:f>
      </x:c>
      <x:c r="C37" s="14" t="str">
        <x:f>IF(A37="","",Rute!F29)</x:f>
      </x:c>
      <x:c r="D37" s="5"/>
      <x:c r="E37" s="2" t="str">
        <x:f>IF(A37="","",D37)</x:f>
      </x:c>
      <x:c r="F37" s="15"/>
      <x:c r="G37" s="15"/>
      <x:c r="H37" s="16" t="str">
        <x:f>IF(A37="","",(C37+F37+G37)*E37)</x:f>
      </x:c>
      <x:c r="I37" s="16" t="str">
        <x:f>IF(OR(A37="",$C$3&lt;=0),"",ROUND((C37*$C$3+(F37+G37)*$C$4+$C$5)*E37,2))</x:f>
      </x:c>
      <x:c r="J37" s="16" t="str">
        <x:f>IF(I37="","",ROUND(I37*(1+$C$6),2))</x:f>
      </x:c>
      <x:c r="K37" s="16" t="str">
        <x:f>IF(J37="","",ROUND(J37*$C$7,2))</x:f>
      </x:c>
      <x:c r="L37" s="16" t="str">
        <x:f>IF(J37="","",J37+K37)</x:f>
      </x:c>
      <x:c r="M37" s="2"/>
      <x:c r="N37" s="2"/>
      <x:c r="O37" s="2"/>
      <x:c r="P37" s="2"/>
      <x:c r="Q37" s="2"/>
    </x:row>
    <x:row r="38" ht="23" customHeight="1">
      <x:c r="A38" s="2" t="str">
        <x:f>IF(Rute!A30="","",Rute!A30)</x:f>
      </x:c>
      <x:c r="B38" s="2" t="str">
        <x:f>IF(A38="","",Rute!E30)</x:f>
      </x:c>
      <x:c r="C38" s="14" t="str">
        <x:f>IF(A38="","",Rute!F30)</x:f>
      </x:c>
      <x:c r="D38" s="5"/>
      <x:c r="E38" s="2" t="str">
        <x:f>IF(A38="","",D38)</x:f>
      </x:c>
      <x:c r="F38" s="15"/>
      <x:c r="G38" s="15"/>
      <x:c r="H38" s="16" t="str">
        <x:f>IF(A38="","",(C38+F38+G38)*E38)</x:f>
      </x:c>
      <x:c r="I38" s="16" t="str">
        <x:f>IF(OR(A38="",$C$3&lt;=0),"",ROUND((C38*$C$3+(F38+G38)*$C$4+$C$5)*E38,2))</x:f>
      </x:c>
      <x:c r="J38" s="16" t="str">
        <x:f>IF(I38="","",ROUND(I38*(1+$C$6),2))</x:f>
      </x:c>
      <x:c r="K38" s="16" t="str">
        <x:f>IF(J38="","",ROUND(J38*$C$7,2))</x:f>
      </x:c>
      <x:c r="L38" s="16" t="str">
        <x:f>IF(J38="","",J38+K38)</x:f>
      </x:c>
      <x:c r="M38" s="2"/>
      <x:c r="N38" s="2"/>
      <x:c r="O38" s="2"/>
      <x:c r="P38" s="2"/>
      <x:c r="Q38" s="2"/>
    </x:row>
    <x:row r="39" ht="23" customHeight="1">
      <x:c r="A39" s="2" t="str">
        <x:f>IF(Rute!A31="","",Rute!A31)</x:f>
      </x:c>
      <x:c r="B39" s="2" t="str">
        <x:f>IF(A39="","",Rute!E31)</x:f>
      </x:c>
      <x:c r="C39" s="14" t="str">
        <x:f>IF(A39="","",Rute!F31)</x:f>
      </x:c>
      <x:c r="D39" s="5"/>
      <x:c r="E39" s="2" t="str">
        <x:f>IF(A39="","",D39)</x:f>
      </x:c>
      <x:c r="F39" s="15"/>
      <x:c r="G39" s="15"/>
      <x:c r="H39" s="16" t="str">
        <x:f>IF(A39="","",(C39+F39+G39)*E39)</x:f>
      </x:c>
      <x:c r="I39" s="16" t="str">
        <x:f>IF(OR(A39="",$C$3&lt;=0),"",ROUND((C39*$C$3+(F39+G39)*$C$4+$C$5)*E39,2))</x:f>
      </x:c>
      <x:c r="J39" s="16" t="str">
        <x:f>IF(I39="","",ROUND(I39*(1+$C$6),2))</x:f>
      </x:c>
      <x:c r="K39" s="16" t="str">
        <x:f>IF(J39="","",ROUND(J39*$C$7,2))</x:f>
      </x:c>
      <x:c r="L39" s="16" t="str">
        <x:f>IF(J39="","",J39+K39)</x:f>
      </x:c>
      <x:c r="M39" s="2"/>
      <x:c r="N39" s="2"/>
      <x:c r="O39" s="2"/>
      <x:c r="P39" s="2"/>
      <x:c r="Q39" s="2"/>
    </x:row>
    <x:row r="40" ht="23" customHeight="1">
      <x:c r="A40" s="2" t="str">
        <x:f>IF(Rute!A32="","",Rute!A32)</x:f>
      </x:c>
      <x:c r="B40" s="2" t="str">
        <x:f>IF(A40="","",Rute!E32)</x:f>
      </x:c>
      <x:c r="C40" s="14" t="str">
        <x:f>IF(A40="","",Rute!F32)</x:f>
      </x:c>
      <x:c r="D40" s="5"/>
      <x:c r="E40" s="2" t="str">
        <x:f>IF(A40="","",D40)</x:f>
      </x:c>
      <x:c r="F40" s="15"/>
      <x:c r="G40" s="15"/>
      <x:c r="H40" s="16" t="str">
        <x:f>IF(A40="","",(C40+F40+G40)*E40)</x:f>
      </x:c>
      <x:c r="I40" s="16" t="str">
        <x:f>IF(OR(A40="",$C$3&lt;=0),"",ROUND((C40*$C$3+(F40+G40)*$C$4+$C$5)*E40,2))</x:f>
      </x:c>
      <x:c r="J40" s="16" t="str">
        <x:f>IF(I40="","",ROUND(I40*(1+$C$6),2))</x:f>
      </x:c>
      <x:c r="K40" s="16" t="str">
        <x:f>IF(J40="","",ROUND(J40*$C$7,2))</x:f>
      </x:c>
      <x:c r="L40" s="16" t="str">
        <x:f>IF(J40="","",J40+K40)</x:f>
      </x:c>
      <x:c r="M40" s="2"/>
      <x:c r="N40" s="2"/>
      <x:c r="O40" s="2"/>
      <x:c r="P40" s="2"/>
      <x:c r="Q40" s="2"/>
    </x:row>
    <x:row r="41" ht="23" customHeight="1">
      <x:c r="A41" s="2" t="str">
        <x:f>IF(Rute!A33="","",Rute!A33)</x:f>
      </x:c>
      <x:c r="B41" s="2" t="str">
        <x:f>IF(A41="","",Rute!E33)</x:f>
      </x:c>
      <x:c r="C41" s="14" t="str">
        <x:f>IF(A41="","",Rute!F33)</x:f>
      </x:c>
      <x:c r="D41" s="5"/>
      <x:c r="E41" s="2" t="str">
        <x:f>IF(A41="","",D41)</x:f>
      </x:c>
      <x:c r="F41" s="15"/>
      <x:c r="G41" s="15"/>
      <x:c r="H41" s="16" t="str">
        <x:f>IF(A41="","",(C41+F41+G41)*E41)</x:f>
      </x:c>
      <x:c r="I41" s="16" t="str">
        <x:f>IF(OR(A41="",$C$3&lt;=0),"",ROUND((C41*$C$3+(F41+G41)*$C$4+$C$5)*E41,2))</x:f>
      </x:c>
      <x:c r="J41" s="16" t="str">
        <x:f>IF(I41="","",ROUND(I41*(1+$C$6),2))</x:f>
      </x:c>
      <x:c r="K41" s="16" t="str">
        <x:f>IF(J41="","",ROUND(J41*$C$7,2))</x:f>
      </x:c>
      <x:c r="L41" s="16" t="str">
        <x:f>IF(J41="","",J41+K41)</x:f>
      </x:c>
      <x:c r="M41" s="2"/>
      <x:c r="N41" s="2"/>
      <x:c r="O41" s="2"/>
      <x:c r="P41" s="2"/>
      <x:c r="Q41" s="2"/>
    </x:row>
    <x:row r="42" ht="23" customHeight="1">
      <x:c r="A42" s="2" t="str">
        <x:f>IF(Rute!A34="","",Rute!A34)</x:f>
      </x:c>
      <x:c r="B42" s="2" t="str">
        <x:f>IF(A42="","",Rute!E34)</x:f>
      </x:c>
      <x:c r="C42" s="14" t="str">
        <x:f>IF(A42="","",Rute!F34)</x:f>
      </x:c>
      <x:c r="D42" s="5"/>
      <x:c r="E42" s="2" t="str">
        <x:f>IF(A42="","",D42)</x:f>
      </x:c>
      <x:c r="F42" s="15"/>
      <x:c r="G42" s="15"/>
      <x:c r="H42" s="16" t="str">
        <x:f>IF(A42="","",(C42+F42+G42)*E42)</x:f>
      </x:c>
      <x:c r="I42" s="16" t="str">
        <x:f>IF(OR(A42="",$C$3&lt;=0),"",ROUND((C42*$C$3+(F42+G42)*$C$4+$C$5)*E42,2))</x:f>
      </x:c>
      <x:c r="J42" s="16" t="str">
        <x:f>IF(I42="","",ROUND(I42*(1+$C$6),2))</x:f>
      </x:c>
      <x:c r="K42" s="16" t="str">
        <x:f>IF(J42="","",ROUND(J42*$C$7,2))</x:f>
      </x:c>
      <x:c r="L42" s="16" t="str">
        <x:f>IF(J42="","",J42+K42)</x:f>
      </x:c>
      <x:c r="M42" s="2"/>
      <x:c r="N42" s="2"/>
      <x:c r="O42" s="2"/>
      <x:c r="P42" s="2"/>
      <x:c r="Q42" s="2"/>
    </x:row>
    <x:row r="43" ht="23" customHeight="1">
      <x:c r="A43" s="2" t="str">
        <x:f>IF(Rute!A35="","",Rute!A35)</x:f>
      </x:c>
      <x:c r="B43" s="2" t="str">
        <x:f>IF(A43="","",Rute!E35)</x:f>
      </x:c>
      <x:c r="C43" s="14" t="str">
        <x:f>IF(A43="","",Rute!F35)</x:f>
      </x:c>
      <x:c r="D43" s="5"/>
      <x:c r="E43" s="2" t="str">
        <x:f>IF(A43="","",D43)</x:f>
      </x:c>
      <x:c r="F43" s="15"/>
      <x:c r="G43" s="15"/>
      <x:c r="H43" s="16" t="str">
        <x:f>IF(A43="","",(C43+F43+G43)*E43)</x:f>
      </x:c>
      <x:c r="I43" s="16" t="str">
        <x:f>IF(OR(A43="",$C$3&lt;=0),"",ROUND((C43*$C$3+(F43+G43)*$C$4+$C$5)*E43,2))</x:f>
      </x:c>
      <x:c r="J43" s="16" t="str">
        <x:f>IF(I43="","",ROUND(I43*(1+$C$6),2))</x:f>
      </x:c>
      <x:c r="K43" s="16" t="str">
        <x:f>IF(J43="","",ROUND(J43*$C$7,2))</x:f>
      </x:c>
      <x:c r="L43" s="16" t="str">
        <x:f>IF(J43="","",J43+K43)</x:f>
      </x:c>
      <x:c r="M43" s="2"/>
      <x:c r="N43" s="2"/>
      <x:c r="O43" s="2"/>
      <x:c r="P43" s="2"/>
      <x:c r="Q43" s="2"/>
    </x:row>
    <x:row r="44" ht="23" customHeight="1">
      <x:c r="A44" s="2" t="str">
        <x:f>IF(Rute!A36="","",Rute!A36)</x:f>
      </x:c>
      <x:c r="B44" s="2" t="str">
        <x:f>IF(A44="","",Rute!E36)</x:f>
      </x:c>
      <x:c r="C44" s="14" t="str">
        <x:f>IF(A44="","",Rute!F36)</x:f>
      </x:c>
      <x:c r="D44" s="5"/>
      <x:c r="E44" s="2" t="str">
        <x:f>IF(A44="","",D44)</x:f>
      </x:c>
      <x:c r="F44" s="15"/>
      <x:c r="G44" s="15"/>
      <x:c r="H44" s="16" t="str">
        <x:f>IF(A44="","",(C44+F44+G44)*E44)</x:f>
      </x:c>
      <x:c r="I44" s="16" t="str">
        <x:f>IF(OR(A44="",$C$3&lt;=0),"",ROUND((C44*$C$3+(F44+G44)*$C$4+$C$5)*E44,2))</x:f>
      </x:c>
      <x:c r="J44" s="16" t="str">
        <x:f>IF(I44="","",ROUND(I44*(1+$C$6),2))</x:f>
      </x:c>
      <x:c r="K44" s="16" t="str">
        <x:f>IF(J44="","",ROUND(J44*$C$7,2))</x:f>
      </x:c>
      <x:c r="L44" s="16" t="str">
        <x:f>IF(J44="","",J44+K44)</x:f>
      </x:c>
      <x:c r="M44" s="2"/>
      <x:c r="N44" s="2"/>
      <x:c r="O44" s="2"/>
      <x:c r="P44" s="2"/>
      <x:c r="Q44" s="2"/>
    </x:row>
    <x:row r="45" ht="23" customHeight="1">
      <x:c r="A45" s="2" t="str">
        <x:f>IF(Rute!A37="","",Rute!A37)</x:f>
      </x:c>
      <x:c r="B45" s="2" t="str">
        <x:f>IF(A45="","",Rute!E37)</x:f>
      </x:c>
      <x:c r="C45" s="14" t="str">
        <x:f>IF(A45="","",Rute!F37)</x:f>
      </x:c>
      <x:c r="D45" s="5"/>
      <x:c r="E45" s="2" t="str">
        <x:f>IF(A45="","",D45)</x:f>
      </x:c>
      <x:c r="F45" s="15"/>
      <x:c r="G45" s="15"/>
      <x:c r="H45" s="16" t="str">
        <x:f>IF(A45="","",(C45+F45+G45)*E45)</x:f>
      </x:c>
      <x:c r="I45" s="16" t="str">
        <x:f>IF(OR(A45="",$C$3&lt;=0),"",ROUND((C45*$C$3+(F45+G45)*$C$4+$C$5)*E45,2))</x:f>
      </x:c>
      <x:c r="J45" s="16" t="str">
        <x:f>IF(I45="","",ROUND(I45*(1+$C$6),2))</x:f>
      </x:c>
      <x:c r="K45" s="16" t="str">
        <x:f>IF(J45="","",ROUND(J45*$C$7,2))</x:f>
      </x:c>
      <x:c r="L45" s="16" t="str">
        <x:f>IF(J45="","",J45+K45)</x:f>
      </x:c>
      <x:c r="M45" s="2"/>
      <x:c r="N45" s="2"/>
      <x:c r="O45" s="2"/>
      <x:c r="P45" s="2"/>
      <x:c r="Q45" s="2"/>
    </x:row>
    <x:row r="46" ht="23" customHeight="1">
      <x:c r="A46" s="2" t="str">
        <x:f>IF(Rute!A38="","",Rute!A38)</x:f>
      </x:c>
      <x:c r="B46" s="2" t="str">
        <x:f>IF(A46="","",Rute!E38)</x:f>
      </x:c>
      <x:c r="C46" s="14" t="str">
        <x:f>IF(A46="","",Rute!F38)</x:f>
      </x:c>
      <x:c r="D46" s="5"/>
      <x:c r="E46" s="2" t="str">
        <x:f>IF(A46="","",D46)</x:f>
      </x:c>
      <x:c r="F46" s="15"/>
      <x:c r="G46" s="15"/>
      <x:c r="H46" s="16" t="str">
        <x:f>IF(A46="","",(C46+F46+G46)*E46)</x:f>
      </x:c>
      <x:c r="I46" s="16" t="str">
        <x:f>IF(OR(A46="",$C$3&lt;=0),"",ROUND((C46*$C$3+(F46+G46)*$C$4+$C$5)*E46,2))</x:f>
      </x:c>
      <x:c r="J46" s="16" t="str">
        <x:f>IF(I46="","",ROUND(I46*(1+$C$6),2))</x:f>
      </x:c>
      <x:c r="K46" s="16" t="str">
        <x:f>IF(J46="","",ROUND(J46*$C$7,2))</x:f>
      </x:c>
      <x:c r="L46" s="16" t="str">
        <x:f>IF(J46="","",J46+K46)</x:f>
      </x:c>
      <x:c r="M46" s="2"/>
      <x:c r="N46" s="2"/>
      <x:c r="O46" s="2"/>
      <x:c r="P46" s="2"/>
      <x:c r="Q46" s="2"/>
    </x:row>
    <x:row r="47" ht="23" customHeight="1">
      <x:c r="A47" s="2" t="str">
        <x:f>IF(Rute!A39="","",Rute!A39)</x:f>
      </x:c>
      <x:c r="B47" s="2" t="str">
        <x:f>IF(A47="","",Rute!E39)</x:f>
      </x:c>
      <x:c r="C47" s="14" t="str">
        <x:f>IF(A47="","",Rute!F39)</x:f>
      </x:c>
      <x:c r="D47" s="5"/>
      <x:c r="E47" s="2" t="str">
        <x:f>IF(A47="","",D47)</x:f>
      </x:c>
      <x:c r="F47" s="15"/>
      <x:c r="G47" s="15"/>
      <x:c r="H47" s="16" t="str">
        <x:f>IF(A47="","",(C47+F47+G47)*E47)</x:f>
      </x:c>
      <x:c r="I47" s="16" t="str">
        <x:f>IF(OR(A47="",$C$3&lt;=0),"",ROUND((C47*$C$3+(F47+G47)*$C$4+$C$5)*E47,2))</x:f>
      </x:c>
      <x:c r="J47" s="16" t="str">
        <x:f>IF(I47="","",ROUND(I47*(1+$C$6),2))</x:f>
      </x:c>
      <x:c r="K47" s="16" t="str">
        <x:f>IF(J47="","",ROUND(J47*$C$7,2))</x:f>
      </x:c>
      <x:c r="L47" s="16" t="str">
        <x:f>IF(J47="","",J47+K47)</x:f>
      </x:c>
      <x:c r="M47" s="2"/>
      <x:c r="N47" s="2"/>
      <x:c r="O47" s="2"/>
      <x:c r="P47" s="2"/>
      <x:c r="Q47" s="2"/>
    </x:row>
    <x:row r="48" ht="23" customHeight="1">
      <x:c r="A48" s="2" t="str">
        <x:f>IF(Rute!A40="","",Rute!A40)</x:f>
      </x:c>
      <x:c r="B48" s="2" t="str">
        <x:f>IF(A48="","",Rute!E40)</x:f>
      </x:c>
      <x:c r="C48" s="14" t="str">
        <x:f>IF(A48="","",Rute!F40)</x:f>
      </x:c>
      <x:c r="D48" s="5"/>
      <x:c r="E48" s="2" t="str">
        <x:f>IF(A48="","",D48)</x:f>
      </x:c>
      <x:c r="F48" s="15"/>
      <x:c r="G48" s="15"/>
      <x:c r="H48" s="16" t="str">
        <x:f>IF(A48="","",(C48+F48+G48)*E48)</x:f>
      </x:c>
      <x:c r="I48" s="16" t="str">
        <x:f>IF(OR(A48="",$C$3&lt;=0),"",ROUND((C48*$C$3+(F48+G48)*$C$4+$C$5)*E48,2))</x:f>
      </x:c>
      <x:c r="J48" s="16" t="str">
        <x:f>IF(I48="","",ROUND(I48*(1+$C$6),2))</x:f>
      </x:c>
      <x:c r="K48" s="16" t="str">
        <x:f>IF(J48="","",ROUND(J48*$C$7,2))</x:f>
      </x:c>
      <x:c r="L48" s="16" t="str">
        <x:f>IF(J48="","",J48+K48)</x:f>
      </x:c>
      <x:c r="M48" s="2"/>
      <x:c r="N48" s="2"/>
      <x:c r="O48" s="2"/>
      <x:c r="P48" s="2"/>
      <x:c r="Q48" s="2"/>
    </x:row>
    <x:row r="49" ht="23" customHeight="1">
      <x:c r="A49" s="2" t="str">
        <x:f>IF(Rute!A41="","",Rute!A41)</x:f>
      </x:c>
      <x:c r="B49" s="2" t="str">
        <x:f>IF(A49="","",Rute!E41)</x:f>
      </x:c>
      <x:c r="C49" s="14" t="str">
        <x:f>IF(A49="","",Rute!F41)</x:f>
      </x:c>
      <x:c r="D49" s="5"/>
      <x:c r="E49" s="2" t="str">
        <x:f>IF(A49="","",D49)</x:f>
      </x:c>
      <x:c r="F49" s="15"/>
      <x:c r="G49" s="15"/>
      <x:c r="H49" s="16" t="str">
        <x:f>IF(A49="","",(C49+F49+G49)*E49)</x:f>
      </x:c>
      <x:c r="I49" s="16" t="str">
        <x:f>IF(OR(A49="",$C$3&lt;=0),"",ROUND((C49*$C$3+(F49+G49)*$C$4+$C$5)*E49,2))</x:f>
      </x:c>
      <x:c r="J49" s="16" t="str">
        <x:f>IF(I49="","",ROUND(I49*(1+$C$6),2))</x:f>
      </x:c>
      <x:c r="K49" s="16" t="str">
        <x:f>IF(J49="","",ROUND(J49*$C$7,2))</x:f>
      </x:c>
      <x:c r="L49" s="16" t="str">
        <x:f>IF(J49="","",J49+K49)</x:f>
      </x:c>
      <x:c r="M49" s="2"/>
      <x:c r="N49" s="2"/>
      <x:c r="O49" s="2"/>
      <x:c r="P49" s="2"/>
      <x:c r="Q49" s="2"/>
    </x:row>
    <x:row r="50" ht="23" customHeight="1">
      <x:c r="A50" s="2" t="str">
        <x:f>IF(Rute!A42="","",Rute!A42)</x:f>
      </x:c>
      <x:c r="B50" s="2" t="str">
        <x:f>IF(A50="","",Rute!E42)</x:f>
      </x:c>
      <x:c r="C50" s="14" t="str">
        <x:f>IF(A50="","",Rute!F42)</x:f>
      </x:c>
      <x:c r="D50" s="5"/>
      <x:c r="E50" s="2" t="str">
        <x:f>IF(A50="","",D50)</x:f>
      </x:c>
      <x:c r="F50" s="15"/>
      <x:c r="G50" s="15"/>
      <x:c r="H50" s="16" t="str">
        <x:f>IF(A50="","",(C50+F50+G50)*E50)</x:f>
      </x:c>
      <x:c r="I50" s="16" t="str">
        <x:f>IF(OR(A50="",$C$3&lt;=0),"",ROUND((C50*$C$3+(F50+G50)*$C$4+$C$5)*E50,2))</x:f>
      </x:c>
      <x:c r="J50" s="16" t="str">
        <x:f>IF(I50="","",ROUND(I50*(1+$C$6),2))</x:f>
      </x:c>
      <x:c r="K50" s="16" t="str">
        <x:f>IF(J50="","",ROUND(J50*$C$7,2))</x:f>
      </x:c>
      <x:c r="L50" s="16" t="str">
        <x:f>IF(J50="","",J50+K50)</x:f>
      </x:c>
      <x:c r="M50" s="2"/>
      <x:c r="N50" s="2"/>
      <x:c r="O50" s="2"/>
      <x:c r="P50" s="2"/>
      <x:c r="Q50" s="2"/>
    </x:row>
    <x:row r="51" ht="23" customHeight="1">
      <x:c r="A51" s="2" t="str">
        <x:f>IF(Rute!A43="","",Rute!A43)</x:f>
      </x:c>
      <x:c r="B51" s="2" t="str">
        <x:f>IF(A51="","",Rute!E43)</x:f>
      </x:c>
      <x:c r="C51" s="14" t="str">
        <x:f>IF(A51="","",Rute!F43)</x:f>
      </x:c>
      <x:c r="D51" s="5"/>
      <x:c r="E51" s="2" t="str">
        <x:f>IF(A51="","",D51)</x:f>
      </x:c>
      <x:c r="F51" s="15"/>
      <x:c r="G51" s="15"/>
      <x:c r="H51" s="16" t="str">
        <x:f>IF(A51="","",(C51+F51+G51)*E51)</x:f>
      </x:c>
      <x:c r="I51" s="16" t="str">
        <x:f>IF(OR(A51="",$C$3&lt;=0),"",ROUND((C51*$C$3+(F51+G51)*$C$4+$C$5)*E51,2))</x:f>
      </x:c>
      <x:c r="J51" s="16" t="str">
        <x:f>IF(I51="","",ROUND(I51*(1+$C$6),2))</x:f>
      </x:c>
      <x:c r="K51" s="16" t="str">
        <x:f>IF(J51="","",ROUND(J51*$C$7,2))</x:f>
      </x:c>
      <x:c r="L51" s="16" t="str">
        <x:f>IF(J51="","",J51+K51)</x:f>
      </x:c>
      <x:c r="M51" s="2"/>
      <x:c r="N51" s="2"/>
      <x:c r="O51" s="2"/>
      <x:c r="P51" s="2"/>
      <x:c r="Q51" s="2"/>
    </x:row>
    <x:row r="52" ht="23" customHeight="1">
      <x:c r="A52" s="2" t="str">
        <x:f>IF(Rute!A44="","",Rute!A44)</x:f>
      </x:c>
      <x:c r="B52" s="2" t="str">
        <x:f>IF(A52="","",Rute!E44)</x:f>
      </x:c>
      <x:c r="C52" s="14" t="str">
        <x:f>IF(A52="","",Rute!F44)</x:f>
      </x:c>
      <x:c r="D52" s="5"/>
      <x:c r="E52" s="2" t="str">
        <x:f>IF(A52="","",D52)</x:f>
      </x:c>
      <x:c r="F52" s="15"/>
      <x:c r="G52" s="15"/>
      <x:c r="H52" s="16" t="str">
        <x:f>IF(A52="","",(C52+F52+G52)*E52)</x:f>
      </x:c>
      <x:c r="I52" s="16" t="str">
        <x:f>IF(OR(A52="",$C$3&lt;=0),"",ROUND((C52*$C$3+(F52+G52)*$C$4+$C$5)*E52,2))</x:f>
      </x:c>
      <x:c r="J52" s="16" t="str">
        <x:f>IF(I52="","",ROUND(I52*(1+$C$6),2))</x:f>
      </x:c>
      <x:c r="K52" s="16" t="str">
        <x:f>IF(J52="","",ROUND(J52*$C$7,2))</x:f>
      </x:c>
      <x:c r="L52" s="16" t="str">
        <x:f>IF(J52="","",J52+K52)</x:f>
      </x:c>
      <x:c r="M52" s="2"/>
      <x:c r="N52" s="2"/>
      <x:c r="O52" s="2"/>
      <x:c r="P52" s="2"/>
      <x:c r="Q52" s="2"/>
    </x:row>
    <x:row r="53" ht="23" customHeight="1">
      <x:c r="A53" s="2" t="str">
        <x:f>IF(Rute!A45="","",Rute!A45)</x:f>
      </x:c>
      <x:c r="B53" s="2" t="str">
        <x:f>IF(A53="","",Rute!E45)</x:f>
      </x:c>
      <x:c r="C53" s="14" t="str">
        <x:f>IF(A53="","",Rute!F45)</x:f>
      </x:c>
      <x:c r="D53" s="5"/>
      <x:c r="E53" s="2" t="str">
        <x:f>IF(A53="","",D53)</x:f>
      </x:c>
      <x:c r="F53" s="15"/>
      <x:c r="G53" s="15"/>
      <x:c r="H53" s="16" t="str">
        <x:f>IF(A53="","",(C53+F53+G53)*E53)</x:f>
      </x:c>
      <x:c r="I53" s="16" t="str">
        <x:f>IF(OR(A53="",$C$3&lt;=0),"",ROUND((C53*$C$3+(F53+G53)*$C$4+$C$5)*E53,2))</x:f>
      </x:c>
      <x:c r="J53" s="16" t="str">
        <x:f>IF(I53="","",ROUND(I53*(1+$C$6),2))</x:f>
      </x:c>
      <x:c r="K53" s="16" t="str">
        <x:f>IF(J53="","",ROUND(J53*$C$7,2))</x:f>
      </x:c>
      <x:c r="L53" s="16" t="str">
        <x:f>IF(J53="","",J53+K53)</x:f>
      </x:c>
      <x:c r="M53" s="2"/>
      <x:c r="N53" s="2"/>
      <x:c r="O53" s="2"/>
      <x:c r="P53" s="2"/>
      <x:c r="Q53" s="2"/>
    </x:row>
    <x:row r="54" ht="23" customHeight="1">
      <x:c r="A54" s="2" t="str">
        <x:f>IF(Rute!A46="","",Rute!A46)</x:f>
      </x:c>
      <x:c r="B54" s="2" t="str">
        <x:f>IF(A54="","",Rute!E46)</x:f>
      </x:c>
      <x:c r="C54" s="14" t="str">
        <x:f>IF(A54="","",Rute!F46)</x:f>
      </x:c>
      <x:c r="D54" s="5"/>
      <x:c r="E54" s="2" t="str">
        <x:f>IF(A54="","",D54)</x:f>
      </x:c>
      <x:c r="F54" s="15"/>
      <x:c r="G54" s="15"/>
      <x:c r="H54" s="16" t="str">
        <x:f>IF(A54="","",(C54+F54+G54)*E54)</x:f>
      </x:c>
      <x:c r="I54" s="16" t="str">
        <x:f>IF(OR(A54="",$C$3&lt;=0),"",ROUND((C54*$C$3+(F54+G54)*$C$4+$C$5)*E54,2))</x:f>
      </x:c>
      <x:c r="J54" s="16" t="str">
        <x:f>IF(I54="","",ROUND(I54*(1+$C$6),2))</x:f>
      </x:c>
      <x:c r="K54" s="16" t="str">
        <x:f>IF(J54="","",ROUND(J54*$C$7,2))</x:f>
      </x:c>
      <x:c r="L54" s="16" t="str">
        <x:f>IF(J54="","",J54+K54)</x:f>
      </x:c>
      <x:c r="M54" s="2"/>
      <x:c r="N54" s="2"/>
      <x:c r="O54" s="2"/>
      <x:c r="P54" s="2"/>
      <x:c r="Q54" s="2"/>
    </x:row>
    <x:row r="55" ht="23" customHeight="1">
      <x:c r="A55" s="2" t="str">
        <x:f>IF(Rute!A47="","",Rute!A47)</x:f>
      </x:c>
      <x:c r="B55" s="2" t="str">
        <x:f>IF(A55="","",Rute!E47)</x:f>
      </x:c>
      <x:c r="C55" s="14" t="str">
        <x:f>IF(A55="","",Rute!F47)</x:f>
      </x:c>
      <x:c r="D55" s="5"/>
      <x:c r="E55" s="2" t="str">
        <x:f>IF(A55="","",D55)</x:f>
      </x:c>
      <x:c r="F55" s="15"/>
      <x:c r="G55" s="15"/>
      <x:c r="H55" s="16" t="str">
        <x:f>IF(A55="","",(C55+F55+G55)*E55)</x:f>
      </x:c>
      <x:c r="I55" s="16" t="str">
        <x:f>IF(OR(A55="",$C$3&lt;=0),"",ROUND((C55*$C$3+(F55+G55)*$C$4+$C$5)*E55,2))</x:f>
      </x:c>
      <x:c r="J55" s="16" t="str">
        <x:f>IF(I55="","",ROUND(I55*(1+$C$6),2))</x:f>
      </x:c>
      <x:c r="K55" s="16" t="str">
        <x:f>IF(J55="","",ROUND(J55*$C$7,2))</x:f>
      </x:c>
      <x:c r="L55" s="16" t="str">
        <x:f>IF(J55="","",J55+K55)</x:f>
      </x:c>
      <x:c r="M55" s="2"/>
      <x:c r="N55" s="2"/>
      <x:c r="O55" s="2"/>
      <x:c r="P55" s="2"/>
      <x:c r="Q55" s="2"/>
    </x:row>
    <x:row r="56" ht="23" customHeight="1">
      <x:c r="A56" s="2" t="str">
        <x:f>IF(Rute!A48="","",Rute!A48)</x:f>
      </x:c>
      <x:c r="B56" s="2" t="str">
        <x:f>IF(A56="","",Rute!E48)</x:f>
      </x:c>
      <x:c r="C56" s="14" t="str">
        <x:f>IF(A56="","",Rute!F48)</x:f>
      </x:c>
      <x:c r="D56" s="5"/>
      <x:c r="E56" s="2" t="str">
        <x:f>IF(A56="","",D56)</x:f>
      </x:c>
      <x:c r="F56" s="15"/>
      <x:c r="G56" s="15"/>
      <x:c r="H56" s="16" t="str">
        <x:f>IF(A56="","",(C56+F56+G56)*E56)</x:f>
      </x:c>
      <x:c r="I56" s="16" t="str">
        <x:f>IF(OR(A56="",$C$3&lt;=0),"",ROUND((C56*$C$3+(F56+G56)*$C$4+$C$5)*E56,2))</x:f>
      </x:c>
      <x:c r="J56" s="16" t="str">
        <x:f>IF(I56="","",ROUND(I56*(1+$C$6),2))</x:f>
      </x:c>
      <x:c r="K56" s="16" t="str">
        <x:f>IF(J56="","",ROUND(J56*$C$7,2))</x:f>
      </x:c>
      <x:c r="L56" s="16" t="str">
        <x:f>IF(J56="","",J56+K56)</x:f>
      </x:c>
      <x:c r="M56" s="2"/>
      <x:c r="N56" s="2"/>
      <x:c r="O56" s="2"/>
      <x:c r="P56" s="2"/>
      <x:c r="Q56" s="2"/>
    </x:row>
    <x:row r="57" ht="23" customHeight="1">
      <x:c r="A57" s="2" t="str">
        <x:f>IF(Rute!A49="","",Rute!A49)</x:f>
      </x:c>
      <x:c r="B57" s="2" t="str">
        <x:f>IF(A57="","",Rute!E49)</x:f>
      </x:c>
      <x:c r="C57" s="14" t="str">
        <x:f>IF(A57="","",Rute!F49)</x:f>
      </x:c>
      <x:c r="D57" s="5"/>
      <x:c r="E57" s="2" t="str">
        <x:f>IF(A57="","",D57)</x:f>
      </x:c>
      <x:c r="F57" s="15"/>
      <x:c r="G57" s="15"/>
      <x:c r="H57" s="16" t="str">
        <x:f>IF(A57="","",(C57+F57+G57)*E57)</x:f>
      </x:c>
      <x:c r="I57" s="16" t="str">
        <x:f>IF(OR(A57="",$C$3&lt;=0),"",ROUND((C57*$C$3+(F57+G57)*$C$4+$C$5)*E57,2))</x:f>
      </x:c>
      <x:c r="J57" s="16" t="str">
        <x:f>IF(I57="","",ROUND(I57*(1+$C$6),2))</x:f>
      </x:c>
      <x:c r="K57" s="16" t="str">
        <x:f>IF(J57="","",ROUND(J57*$C$7,2))</x:f>
      </x:c>
      <x:c r="L57" s="16" t="str">
        <x:f>IF(J57="","",J57+K57)</x:f>
      </x:c>
      <x:c r="M57" s="2"/>
      <x:c r="N57" s="2"/>
      <x:c r="O57" s="2"/>
      <x:c r="P57" s="2"/>
      <x:c r="Q57" s="2"/>
    </x:row>
    <x:row r="58" ht="23" customHeight="1">
      <x:c r="A58" s="2" t="str">
        <x:f>IF(Rute!A50="","",Rute!A50)</x:f>
      </x:c>
      <x:c r="B58" s="2" t="str">
        <x:f>IF(A58="","",Rute!E50)</x:f>
      </x:c>
      <x:c r="C58" s="14" t="str">
        <x:f>IF(A58="","",Rute!F50)</x:f>
      </x:c>
      <x:c r="D58" s="5"/>
      <x:c r="E58" s="2" t="str">
        <x:f>IF(A58="","",D58)</x:f>
      </x:c>
      <x:c r="F58" s="15"/>
      <x:c r="G58" s="15"/>
      <x:c r="H58" s="16" t="str">
        <x:f>IF(A58="","",(C58+F58+G58)*E58)</x:f>
      </x:c>
      <x:c r="I58" s="16" t="str">
        <x:f>IF(OR(A58="",$C$3&lt;=0),"",ROUND((C58*$C$3+(F58+G58)*$C$4+$C$5)*E58,2))</x:f>
      </x:c>
      <x:c r="J58" s="16" t="str">
        <x:f>IF(I58="","",ROUND(I58*(1+$C$6),2))</x:f>
      </x:c>
      <x:c r="K58" s="16" t="str">
        <x:f>IF(J58="","",ROUND(J58*$C$7,2))</x:f>
      </x:c>
      <x:c r="L58" s="16" t="str">
        <x:f>IF(J58="","",J58+K58)</x:f>
      </x:c>
      <x:c r="M58" s="2"/>
      <x:c r="N58" s="2"/>
      <x:c r="O58" s="2"/>
      <x:c r="P58" s="2"/>
      <x:c r="Q58" s="2"/>
    </x:row>
    <x:row r="59" ht="23" customHeight="1">
      <x:c r="A59" s="2" t="str">
        <x:f>IF(Rute!A51="","",Rute!A51)</x:f>
      </x:c>
      <x:c r="B59" s="2" t="str">
        <x:f>IF(A59="","",Rute!E51)</x:f>
      </x:c>
      <x:c r="C59" s="14" t="str">
        <x:f>IF(A59="","",Rute!F51)</x:f>
      </x:c>
      <x:c r="D59" s="5"/>
      <x:c r="E59" s="2" t="str">
        <x:f>IF(A59="","",D59)</x:f>
      </x:c>
      <x:c r="F59" s="15"/>
      <x:c r="G59" s="15"/>
      <x:c r="H59" s="16" t="str">
        <x:f>IF(A59="","",(C59+F59+G59)*E59)</x:f>
      </x:c>
      <x:c r="I59" s="16" t="str">
        <x:f>IF(OR(A59="",$C$3&lt;=0),"",ROUND((C59*$C$3+(F59+G59)*$C$4+$C$5)*E59,2))</x:f>
      </x:c>
      <x:c r="J59" s="16" t="str">
        <x:f>IF(I59="","",ROUND(I59*(1+$C$6),2))</x:f>
      </x:c>
      <x:c r="K59" s="16" t="str">
        <x:f>IF(J59="","",ROUND(J59*$C$7,2))</x:f>
      </x:c>
      <x:c r="L59" s="16" t="str">
        <x:f>IF(J59="","",J59+K59)</x:f>
      </x:c>
      <x:c r="M59" s="2"/>
      <x:c r="N59" s="2"/>
      <x:c r="O59" s="2"/>
      <x:c r="P59" s="2"/>
      <x:c r="Q59" s="2"/>
    </x:row>
    <x:row r="60" ht="23" customHeight="1">
      <x:c r="A60" s="2" t="str">
        <x:f>IF(Rute!A52="","",Rute!A52)</x:f>
      </x:c>
      <x:c r="B60" s="2" t="str">
        <x:f>IF(A60="","",Rute!E52)</x:f>
      </x:c>
      <x:c r="C60" s="14" t="str">
        <x:f>IF(A60="","",Rute!F52)</x:f>
      </x:c>
      <x:c r="D60" s="5"/>
      <x:c r="E60" s="2" t="str">
        <x:f>IF(A60="","",D60)</x:f>
      </x:c>
      <x:c r="F60" s="15"/>
      <x:c r="G60" s="15"/>
      <x:c r="H60" s="16" t="str">
        <x:f>IF(A60="","",(C60+F60+G60)*E60)</x:f>
      </x:c>
      <x:c r="I60" s="16" t="str">
        <x:f>IF(OR(A60="",$C$3&lt;=0),"",ROUND((C60*$C$3+(F60+G60)*$C$4+$C$5)*E60,2))</x:f>
      </x:c>
      <x:c r="J60" s="16" t="str">
        <x:f>IF(I60="","",ROUND(I60*(1+$C$6),2))</x:f>
      </x:c>
      <x:c r="K60" s="16" t="str">
        <x:f>IF(J60="","",ROUND(J60*$C$7,2))</x:f>
      </x:c>
      <x:c r="L60" s="16" t="str">
        <x:f>IF(J60="","",J60+K60)</x:f>
      </x:c>
      <x:c r="M60" s="2"/>
      <x:c r="N60" s="2"/>
      <x:c r="O60" s="2"/>
      <x:c r="P60" s="2"/>
      <x:c r="Q60" s="2"/>
    </x:row>
    <x:row r="61" ht="23" customHeight="1">
      <x:c r="A61" s="2" t="str">
        <x:f>IF(Rute!A53="","",Rute!A53)</x:f>
      </x:c>
      <x:c r="B61" s="2" t="str">
        <x:f>IF(A61="","",Rute!E53)</x:f>
      </x:c>
      <x:c r="C61" s="14" t="str">
        <x:f>IF(A61="","",Rute!F53)</x:f>
      </x:c>
      <x:c r="D61" s="5"/>
      <x:c r="E61" s="2" t="str">
        <x:f>IF(A61="","",D61)</x:f>
      </x:c>
      <x:c r="F61" s="15"/>
      <x:c r="G61" s="15"/>
      <x:c r="H61" s="16" t="str">
        <x:f>IF(A61="","",(C61+F61+G61)*E61)</x:f>
      </x:c>
      <x:c r="I61" s="16" t="str">
        <x:f>IF(OR(A61="",$C$3&lt;=0),"",ROUND((C61*$C$3+(F61+G61)*$C$4+$C$5)*E61,2))</x:f>
      </x:c>
      <x:c r="J61" s="16" t="str">
        <x:f>IF(I61="","",ROUND(I61*(1+$C$6),2))</x:f>
      </x:c>
      <x:c r="K61" s="16" t="str">
        <x:f>IF(J61="","",ROUND(J61*$C$7,2))</x:f>
      </x:c>
      <x:c r="L61" s="16" t="str">
        <x:f>IF(J61="","",J61+K61)</x:f>
      </x:c>
      <x:c r="M61" s="2"/>
      <x:c r="N61" s="2"/>
      <x:c r="O61" s="2"/>
      <x:c r="P61" s="2"/>
      <x:c r="Q61" s="2"/>
    </x:row>
    <x:row r="62" ht="23" customHeight="1">
      <x:c r="A62" s="2" t="str">
        <x:f>IF(Rute!A54="","",Rute!A54)</x:f>
      </x:c>
      <x:c r="B62" s="2" t="str">
        <x:f>IF(A62="","",Rute!E54)</x:f>
      </x:c>
      <x:c r="C62" s="14" t="str">
        <x:f>IF(A62="","",Rute!F54)</x:f>
      </x:c>
      <x:c r="D62" s="5"/>
      <x:c r="E62" s="2" t="str">
        <x:f>IF(A62="","",D62)</x:f>
      </x:c>
      <x:c r="F62" s="15"/>
      <x:c r="G62" s="15"/>
      <x:c r="H62" s="16" t="str">
        <x:f>IF(A62="","",(C62+F62+G62)*E62)</x:f>
      </x:c>
      <x:c r="I62" s="16" t="str">
        <x:f>IF(OR(A62="",$C$3&lt;=0),"",ROUND((C62*$C$3+(F62+G62)*$C$4+$C$5)*E62,2))</x:f>
      </x:c>
      <x:c r="J62" s="16" t="str">
        <x:f>IF(I62="","",ROUND(I62*(1+$C$6),2))</x:f>
      </x:c>
      <x:c r="K62" s="16" t="str">
        <x:f>IF(J62="","",ROUND(J62*$C$7,2))</x:f>
      </x:c>
      <x:c r="L62" s="16" t="str">
        <x:f>IF(J62="","",J62+K62)</x:f>
      </x:c>
      <x:c r="M62" s="2"/>
      <x:c r="N62" s="2"/>
      <x:c r="O62" s="2"/>
      <x:c r="P62" s="2"/>
      <x:c r="Q62" s="2"/>
    </x:row>
    <x:row r="63" ht="23" customHeight="1">
      <x:c r="A63" s="2" t="str">
        <x:f>IF(Rute!A55="","",Rute!A55)</x:f>
      </x:c>
      <x:c r="B63" s="2" t="str">
        <x:f>IF(A63="","",Rute!E55)</x:f>
      </x:c>
      <x:c r="C63" s="14" t="str">
        <x:f>IF(A63="","",Rute!F55)</x:f>
      </x:c>
      <x:c r="D63" s="5"/>
      <x:c r="E63" s="2" t="str">
        <x:f>IF(A63="","",D63)</x:f>
      </x:c>
      <x:c r="F63" s="15"/>
      <x:c r="G63" s="15"/>
      <x:c r="H63" s="16" t="str">
        <x:f>IF(A63="","",(C63+F63+G63)*E63)</x:f>
      </x:c>
      <x:c r="I63" s="16" t="str">
        <x:f>IF(OR(A63="",$C$3&lt;=0),"",ROUND((C63*$C$3+(F63+G63)*$C$4+$C$5)*E63,2))</x:f>
      </x:c>
      <x:c r="J63" s="16" t="str">
        <x:f>IF(I63="","",ROUND(I63*(1+$C$6),2))</x:f>
      </x:c>
      <x:c r="K63" s="16" t="str">
        <x:f>IF(J63="","",ROUND(J63*$C$7,2))</x:f>
      </x:c>
      <x:c r="L63" s="16" t="str">
        <x:f>IF(J63="","",J63+K63)</x:f>
      </x:c>
      <x:c r="M63" s="2"/>
      <x:c r="N63" s="2"/>
      <x:c r="O63" s="2"/>
      <x:c r="P63" s="2"/>
      <x:c r="Q63" s="2"/>
    </x:row>
    <x:row r="64" ht="23" customHeight="1">
      <x:c r="A64" s="2" t="str">
        <x:f>IF(Rute!A56="","",Rute!A56)</x:f>
      </x:c>
      <x:c r="B64" s="2" t="str">
        <x:f>IF(A64="","",Rute!E56)</x:f>
      </x:c>
      <x:c r="C64" s="14" t="str">
        <x:f>IF(A64="","",Rute!F56)</x:f>
      </x:c>
      <x:c r="D64" s="5"/>
      <x:c r="E64" s="2" t="str">
        <x:f>IF(A64="","",D64)</x:f>
      </x:c>
      <x:c r="F64" s="15"/>
      <x:c r="G64" s="15"/>
      <x:c r="H64" s="16" t="str">
        <x:f>IF(A64="","",(C64+F64+G64)*E64)</x:f>
      </x:c>
      <x:c r="I64" s="16" t="str">
        <x:f>IF(OR(A64="",$C$3&lt;=0),"",ROUND((C64*$C$3+(F64+G64)*$C$4+$C$5)*E64,2))</x:f>
      </x:c>
      <x:c r="J64" s="16" t="str">
        <x:f>IF(I64="","",ROUND(I64*(1+$C$6),2))</x:f>
      </x:c>
      <x:c r="K64" s="16" t="str">
        <x:f>IF(J64="","",ROUND(J64*$C$7,2))</x:f>
      </x:c>
      <x:c r="L64" s="16" t="str">
        <x:f>IF(J64="","",J64+K64)</x:f>
      </x:c>
      <x:c r="M64" s="2"/>
      <x:c r="N64" s="2"/>
      <x:c r="O64" s="2"/>
      <x:c r="P64" s="2"/>
      <x:c r="Q64" s="2"/>
    </x:row>
    <x:row r="65" ht="23" customHeight="1">
      <x:c r="A65" s="2" t="str">
        <x:f>IF(Rute!A57="","",Rute!A57)</x:f>
      </x:c>
      <x:c r="B65" s="2" t="str">
        <x:f>IF(A65="","",Rute!E57)</x:f>
      </x:c>
      <x:c r="C65" s="14" t="str">
        <x:f>IF(A65="","",Rute!F57)</x:f>
      </x:c>
      <x:c r="D65" s="5"/>
      <x:c r="E65" s="2" t="str">
        <x:f>IF(A65="","",D65)</x:f>
      </x:c>
      <x:c r="F65" s="15"/>
      <x:c r="G65" s="15"/>
      <x:c r="H65" s="16" t="str">
        <x:f>IF(A65="","",(C65+F65+G65)*E65)</x:f>
      </x:c>
      <x:c r="I65" s="16" t="str">
        <x:f>IF(OR(A65="",$C$3&lt;=0),"",ROUND((C65*$C$3+(F65+G65)*$C$4+$C$5)*E65,2))</x:f>
      </x:c>
      <x:c r="J65" s="16" t="str">
        <x:f>IF(I65="","",ROUND(I65*(1+$C$6),2))</x:f>
      </x:c>
      <x:c r="K65" s="16" t="str">
        <x:f>IF(J65="","",ROUND(J65*$C$7,2))</x:f>
      </x:c>
      <x:c r="L65" s="16" t="str">
        <x:f>IF(J65="","",J65+K65)</x:f>
      </x:c>
      <x:c r="M65" s="2"/>
      <x:c r="N65" s="2"/>
      <x:c r="O65" s="2"/>
      <x:c r="P65" s="2"/>
      <x:c r="Q65" s="2"/>
    </x:row>
    <x:row r="66" ht="23" customHeight="1">
      <x:c r="A66" s="2" t="str">
        <x:f>IF(Rute!A58="","",Rute!A58)</x:f>
      </x:c>
      <x:c r="B66" s="2" t="str">
        <x:f>IF(A66="","",Rute!E58)</x:f>
      </x:c>
      <x:c r="C66" s="14" t="str">
        <x:f>IF(A66="","",Rute!F58)</x:f>
      </x:c>
      <x:c r="D66" s="5"/>
      <x:c r="E66" s="2" t="str">
        <x:f>IF(A66="","",D66)</x:f>
      </x:c>
      <x:c r="F66" s="15"/>
      <x:c r="G66" s="15"/>
      <x:c r="H66" s="16" t="str">
        <x:f>IF(A66="","",(C66+F66+G66)*E66)</x:f>
      </x:c>
      <x:c r="I66" s="16" t="str">
        <x:f>IF(OR(A66="",$C$3&lt;=0),"",ROUND((C66*$C$3+(F66+G66)*$C$4+$C$5)*E66,2))</x:f>
      </x:c>
      <x:c r="J66" s="16" t="str">
        <x:f>IF(I66="","",ROUND(I66*(1+$C$6),2))</x:f>
      </x:c>
      <x:c r="K66" s="16" t="str">
        <x:f>IF(J66="","",ROUND(J66*$C$7,2))</x:f>
      </x:c>
      <x:c r="L66" s="16" t="str">
        <x:f>IF(J66="","",J66+K66)</x:f>
      </x:c>
      <x:c r="M66" s="2"/>
      <x:c r="N66" s="2"/>
      <x:c r="O66" s="2"/>
      <x:c r="P66" s="2"/>
      <x:c r="Q66" s="2"/>
    </x:row>
    <x:row r="67" ht="23" customHeight="1">
      <x:c r="A67" s="2" t="str">
        <x:f>IF(Rute!A59="","",Rute!A59)</x:f>
      </x:c>
      <x:c r="B67" s="2" t="str">
        <x:f>IF(A67="","",Rute!E59)</x:f>
      </x:c>
      <x:c r="C67" s="14" t="str">
        <x:f>IF(A67="","",Rute!F59)</x:f>
      </x:c>
      <x:c r="D67" s="5"/>
      <x:c r="E67" s="2" t="str">
        <x:f>IF(A67="","",D67)</x:f>
      </x:c>
      <x:c r="F67" s="15"/>
      <x:c r="G67" s="15"/>
      <x:c r="H67" s="16" t="str">
        <x:f>IF(A67="","",(C67+F67+G67)*E67)</x:f>
      </x:c>
      <x:c r="I67" s="16" t="str">
        <x:f>IF(OR(A67="",$C$3&lt;=0),"",ROUND((C67*$C$3+(F67+G67)*$C$4+$C$5)*E67,2))</x:f>
      </x:c>
      <x:c r="J67" s="16" t="str">
        <x:f>IF(I67="","",ROUND(I67*(1+$C$6),2))</x:f>
      </x:c>
      <x:c r="K67" s="16" t="str">
        <x:f>IF(J67="","",ROUND(J67*$C$7,2))</x:f>
      </x:c>
      <x:c r="L67" s="16" t="str">
        <x:f>IF(J67="","",J67+K67)</x:f>
      </x:c>
      <x:c r="M67" s="2"/>
      <x:c r="N67" s="2"/>
      <x:c r="O67" s="2"/>
      <x:c r="P67" s="2"/>
      <x:c r="Q67" s="2"/>
    </x:row>
    <x:row r="68" ht="23" customHeight="1">
      <x:c r="A68" s="2" t="str">
        <x:f>IF(Rute!A60="","",Rute!A60)</x:f>
      </x:c>
      <x:c r="B68" s="2" t="str">
        <x:f>IF(A68="","",Rute!E60)</x:f>
      </x:c>
      <x:c r="C68" s="14" t="str">
        <x:f>IF(A68="","",Rute!F60)</x:f>
      </x:c>
      <x:c r="D68" s="5"/>
      <x:c r="E68" s="2" t="str">
        <x:f>IF(A68="","",D68)</x:f>
      </x:c>
      <x:c r="F68" s="15"/>
      <x:c r="G68" s="15"/>
      <x:c r="H68" s="16" t="str">
        <x:f>IF(A68="","",(C68+F68+G68)*E68)</x:f>
      </x:c>
      <x:c r="I68" s="16" t="str">
        <x:f>IF(OR(A68="",$C$3&lt;=0),"",ROUND((C68*$C$3+(F68+G68)*$C$4+$C$5)*E68,2))</x:f>
      </x:c>
      <x:c r="J68" s="16" t="str">
        <x:f>IF(I68="","",ROUND(I68*(1+$C$6),2))</x:f>
      </x:c>
      <x:c r="K68" s="16" t="str">
        <x:f>IF(J68="","",ROUND(J68*$C$7,2))</x:f>
      </x:c>
      <x:c r="L68" s="16" t="str">
        <x:f>IF(J68="","",J68+K68)</x:f>
      </x:c>
      <x:c r="M68" s="2"/>
      <x:c r="N68" s="2"/>
      <x:c r="O68" s="2"/>
      <x:c r="P68" s="2"/>
      <x:c r="Q68" s="2"/>
    </x:row>
    <x:row r="69" ht="23" customHeight="1">
      <x:c r="A69" s="2" t="str">
        <x:f>IF(Rute!A61="","",Rute!A61)</x:f>
      </x:c>
      <x:c r="B69" s="2" t="str">
        <x:f>IF(A69="","",Rute!E61)</x:f>
      </x:c>
      <x:c r="C69" s="14" t="str">
        <x:f>IF(A69="","",Rute!F61)</x:f>
      </x:c>
      <x:c r="D69" s="5"/>
      <x:c r="E69" s="2" t="str">
        <x:f>IF(A69="","",D69)</x:f>
      </x:c>
      <x:c r="F69" s="15"/>
      <x:c r="G69" s="15"/>
      <x:c r="H69" s="16" t="str">
        <x:f>IF(A69="","",(C69+F69+G69)*E69)</x:f>
      </x:c>
      <x:c r="I69" s="16" t="str">
        <x:f>IF(OR(A69="",$C$3&lt;=0),"",ROUND((C69*$C$3+(F69+G69)*$C$4+$C$5)*E69,2))</x:f>
      </x:c>
      <x:c r="J69" s="16" t="str">
        <x:f>IF(I69="","",ROUND(I69*(1+$C$6),2))</x:f>
      </x:c>
      <x:c r="K69" s="16" t="str">
        <x:f>IF(J69="","",ROUND(J69*$C$7,2))</x:f>
      </x:c>
      <x:c r="L69" s="16" t="str">
        <x:f>IF(J69="","",J69+K69)</x:f>
      </x:c>
      <x:c r="M69" s="2"/>
      <x:c r="N69" s="2"/>
      <x:c r="O69" s="2"/>
      <x:c r="P69" s="2"/>
      <x:c r="Q69" s="2"/>
    </x:row>
    <x:row r="70" ht="23" customHeight="1">
      <x:c r="A70" s="2" t="str">
        <x:f>IF(Rute!A62="","",Rute!A62)</x:f>
      </x:c>
      <x:c r="B70" s="2" t="str">
        <x:f>IF(A70="","",Rute!E62)</x:f>
      </x:c>
      <x:c r="C70" s="14" t="str">
        <x:f>IF(A70="","",Rute!F62)</x:f>
      </x:c>
      <x:c r="D70" s="5"/>
      <x:c r="E70" s="2" t="str">
        <x:f>IF(A70="","",D70)</x:f>
      </x:c>
      <x:c r="F70" s="15"/>
      <x:c r="G70" s="15"/>
      <x:c r="H70" s="16" t="str">
        <x:f>IF(A70="","",(C70+F70+G70)*E70)</x:f>
      </x:c>
      <x:c r="I70" s="16" t="str">
        <x:f>IF(OR(A70="",$C$3&lt;=0),"",ROUND((C70*$C$3+(F70+G70)*$C$4+$C$5)*E70,2))</x:f>
      </x:c>
      <x:c r="J70" s="16" t="str">
        <x:f>IF(I70="","",ROUND(I70*(1+$C$6),2))</x:f>
      </x:c>
      <x:c r="K70" s="16" t="str">
        <x:f>IF(J70="","",ROUND(J70*$C$7,2))</x:f>
      </x:c>
      <x:c r="L70" s="16" t="str">
        <x:f>IF(J70="","",J70+K70)</x:f>
      </x:c>
      <x:c r="M70" s="2"/>
      <x:c r="N70" s="2"/>
      <x:c r="O70" s="2"/>
      <x:c r="P70" s="2"/>
      <x:c r="Q70" s="2"/>
    </x:row>
    <x:row r="71" ht="23" customHeight="1">
      <x:c r="A71" s="2" t="str">
        <x:f>IF(Rute!A63="","",Rute!A63)</x:f>
      </x:c>
      <x:c r="B71" s="2" t="str">
        <x:f>IF(A71="","",Rute!E63)</x:f>
      </x:c>
      <x:c r="C71" s="14" t="str">
        <x:f>IF(A71="","",Rute!F63)</x:f>
      </x:c>
      <x:c r="D71" s="5"/>
      <x:c r="E71" s="2" t="str">
        <x:f>IF(A71="","",D71)</x:f>
      </x:c>
      <x:c r="F71" s="15"/>
      <x:c r="G71" s="15"/>
      <x:c r="H71" s="16" t="str">
        <x:f>IF(A71="","",(C71+F71+G71)*E71)</x:f>
      </x:c>
      <x:c r="I71" s="16" t="str">
        <x:f>IF(OR(A71="",$C$3&lt;=0),"",ROUND((C71*$C$3+(F71+G71)*$C$4+$C$5)*E71,2))</x:f>
      </x:c>
      <x:c r="J71" s="16" t="str">
        <x:f>IF(I71="","",ROUND(I71*(1+$C$6),2))</x:f>
      </x:c>
      <x:c r="K71" s="16" t="str">
        <x:f>IF(J71="","",ROUND(J71*$C$7,2))</x:f>
      </x:c>
      <x:c r="L71" s="16" t="str">
        <x:f>IF(J71="","",J71+K71)</x:f>
      </x:c>
      <x:c r="M71" s="2"/>
      <x:c r="N71" s="2"/>
      <x:c r="O71" s="2"/>
      <x:c r="P71" s="2"/>
      <x:c r="Q71" s="2"/>
    </x:row>
    <x:row r="72" ht="23" customHeight="1">
      <x:c r="A72" s="2" t="str">
        <x:f>IF(Rute!A64="","",Rute!A64)</x:f>
      </x:c>
      <x:c r="B72" s="2" t="str">
        <x:f>IF(A72="","",Rute!E64)</x:f>
      </x:c>
      <x:c r="C72" s="14" t="str">
        <x:f>IF(A72="","",Rute!F64)</x:f>
      </x:c>
      <x:c r="D72" s="5"/>
      <x:c r="E72" s="2" t="str">
        <x:f>IF(A72="","",D72)</x:f>
      </x:c>
      <x:c r="F72" s="15"/>
      <x:c r="G72" s="15"/>
      <x:c r="H72" s="16" t="str">
        <x:f>IF(A72="","",(C72+F72+G72)*E72)</x:f>
      </x:c>
      <x:c r="I72" s="16" t="str">
        <x:f>IF(OR(A72="",$C$3&lt;=0),"",ROUND((C72*$C$3+(F72+G72)*$C$4+$C$5)*E72,2))</x:f>
      </x:c>
      <x:c r="J72" s="16" t="str">
        <x:f>IF(I72="","",ROUND(I72*(1+$C$6),2))</x:f>
      </x:c>
      <x:c r="K72" s="16" t="str">
        <x:f>IF(J72="","",ROUND(J72*$C$7,2))</x:f>
      </x:c>
      <x:c r="L72" s="16" t="str">
        <x:f>IF(J72="","",J72+K72)</x:f>
      </x:c>
      <x:c r="M72" s="2"/>
      <x:c r="N72" s="2"/>
      <x:c r="O72" s="2"/>
      <x:c r="P72" s="2"/>
      <x:c r="Q72" s="2"/>
    </x:row>
    <x:row r="73" ht="23" customHeight="1">
      <x:c r="A73" s="2" t="str">
        <x:f>IF(Rute!A65="","",Rute!A65)</x:f>
      </x:c>
      <x:c r="B73" s="2" t="str">
        <x:f>IF(A73="","",Rute!E65)</x:f>
      </x:c>
      <x:c r="C73" s="14" t="str">
        <x:f>IF(A73="","",Rute!F65)</x:f>
      </x:c>
      <x:c r="D73" s="5"/>
      <x:c r="E73" s="2" t="str">
        <x:f>IF(A73="","",D73)</x:f>
      </x:c>
      <x:c r="F73" s="15"/>
      <x:c r="G73" s="15"/>
      <x:c r="H73" s="16" t="str">
        <x:f>IF(A73="","",(C73+F73+G73)*E73)</x:f>
      </x:c>
      <x:c r="I73" s="16" t="str">
        <x:f>IF(OR(A73="",$C$3&lt;=0),"",ROUND((C73*$C$3+(F73+G73)*$C$4+$C$5)*E73,2))</x:f>
      </x:c>
      <x:c r="J73" s="16" t="str">
        <x:f>IF(I73="","",ROUND(I73*(1+$C$6),2))</x:f>
      </x:c>
      <x:c r="K73" s="16" t="str">
        <x:f>IF(J73="","",ROUND(J73*$C$7,2))</x:f>
      </x:c>
      <x:c r="L73" s="16" t="str">
        <x:f>IF(J73="","",J73+K73)</x:f>
      </x:c>
      <x:c r="M73" s="2"/>
      <x:c r="N73" s="2"/>
      <x:c r="O73" s="2"/>
      <x:c r="P73" s="2"/>
      <x:c r="Q73" s="2"/>
    </x:row>
    <x:row r="74" ht="23" customHeight="1">
      <x:c r="A74" s="2" t="str">
        <x:f>IF(Rute!A66="","",Rute!A66)</x:f>
      </x:c>
      <x:c r="B74" s="2" t="str">
        <x:f>IF(A74="","",Rute!E66)</x:f>
      </x:c>
      <x:c r="C74" s="14" t="str">
        <x:f>IF(A74="","",Rute!F66)</x:f>
      </x:c>
      <x:c r="D74" s="5"/>
      <x:c r="E74" s="2" t="str">
        <x:f>IF(A74="","",D74)</x:f>
      </x:c>
      <x:c r="F74" s="15"/>
      <x:c r="G74" s="15"/>
      <x:c r="H74" s="16" t="str">
        <x:f>IF(A74="","",(C74+F74+G74)*E74)</x:f>
      </x:c>
      <x:c r="I74" s="16" t="str">
        <x:f>IF(OR(A74="",$C$3&lt;=0),"",ROUND((C74*$C$3+(F74+G74)*$C$4+$C$5)*E74,2))</x:f>
      </x:c>
      <x:c r="J74" s="16" t="str">
        <x:f>IF(I74="","",ROUND(I74*(1+$C$6),2))</x:f>
      </x:c>
      <x:c r="K74" s="16" t="str">
        <x:f>IF(J74="","",ROUND(J74*$C$7,2))</x:f>
      </x:c>
      <x:c r="L74" s="16" t="str">
        <x:f>IF(J74="","",J74+K74)</x:f>
      </x:c>
      <x:c r="M74" s="2"/>
      <x:c r="N74" s="2"/>
      <x:c r="O74" s="2"/>
      <x:c r="P74" s="2"/>
      <x:c r="Q74" s="2"/>
    </x:row>
    <x:row r="75" ht="23" customHeight="1">
      <x:c r="A75" s="2" t="str">
        <x:f>IF(Rute!A67="","",Rute!A67)</x:f>
      </x:c>
      <x:c r="B75" s="2" t="str">
        <x:f>IF(A75="","",Rute!E67)</x:f>
      </x:c>
      <x:c r="C75" s="14" t="str">
        <x:f>IF(A75="","",Rute!F67)</x:f>
      </x:c>
      <x:c r="D75" s="5"/>
      <x:c r="E75" s="2" t="str">
        <x:f>IF(A75="","",D75)</x:f>
      </x:c>
      <x:c r="F75" s="15"/>
      <x:c r="G75" s="15"/>
      <x:c r="H75" s="16" t="str">
        <x:f>IF(A75="","",(C75+F75+G75)*E75)</x:f>
      </x:c>
      <x:c r="I75" s="16" t="str">
        <x:f>IF(OR(A75="",$C$3&lt;=0),"",ROUND((C75*$C$3+(F75+G75)*$C$4+$C$5)*E75,2))</x:f>
      </x:c>
      <x:c r="J75" s="16" t="str">
        <x:f>IF(I75="","",ROUND(I75*(1+$C$6),2))</x:f>
      </x:c>
      <x:c r="K75" s="16" t="str">
        <x:f>IF(J75="","",ROUND(J75*$C$7,2))</x:f>
      </x:c>
      <x:c r="L75" s="16" t="str">
        <x:f>IF(J75="","",J75+K75)</x:f>
      </x:c>
      <x:c r="M75" s="2"/>
      <x:c r="N75" s="2"/>
      <x:c r="O75" s="2"/>
      <x:c r="P75" s="2"/>
      <x:c r="Q75" s="2"/>
    </x:row>
    <x:row r="76" ht="23" customHeight="1">
      <x:c r="A76" s="2" t="str">
        <x:f>IF(Rute!A68="","",Rute!A68)</x:f>
      </x:c>
      <x:c r="B76" s="2" t="str">
        <x:f>IF(A76="","",Rute!E68)</x:f>
      </x:c>
      <x:c r="C76" s="14" t="str">
        <x:f>IF(A76="","",Rute!F68)</x:f>
      </x:c>
      <x:c r="D76" s="5"/>
      <x:c r="E76" s="2" t="str">
        <x:f>IF(A76="","",D76)</x:f>
      </x:c>
      <x:c r="F76" s="15"/>
      <x:c r="G76" s="15"/>
      <x:c r="H76" s="16" t="str">
        <x:f>IF(A76="","",(C76+F76+G76)*E76)</x:f>
      </x:c>
      <x:c r="I76" s="16" t="str">
        <x:f>IF(OR(A76="",$C$3&lt;=0),"",ROUND((C76*$C$3+(F76+G76)*$C$4+$C$5)*E76,2))</x:f>
      </x:c>
      <x:c r="J76" s="16" t="str">
        <x:f>IF(I76="","",ROUND(I76*(1+$C$6),2))</x:f>
      </x:c>
      <x:c r="K76" s="16" t="str">
        <x:f>IF(J76="","",ROUND(J76*$C$7,2))</x:f>
      </x:c>
      <x:c r="L76" s="16" t="str">
        <x:f>IF(J76="","",J76+K76)</x:f>
      </x:c>
      <x:c r="M76" s="2"/>
      <x:c r="N76" s="2"/>
      <x:c r="O76" s="2"/>
      <x:c r="P76" s="2"/>
      <x:c r="Q76" s="2"/>
    </x:row>
    <x:row r="77" ht="23" customHeight="1">
      <x:c r="A77" s="2" t="str">
        <x:f>IF(Rute!A69="","",Rute!A69)</x:f>
      </x:c>
      <x:c r="B77" s="2" t="str">
        <x:f>IF(A77="","",Rute!E69)</x:f>
      </x:c>
      <x:c r="C77" s="14" t="str">
        <x:f>IF(A77="","",Rute!F69)</x:f>
      </x:c>
      <x:c r="D77" s="5"/>
      <x:c r="E77" s="2" t="str">
        <x:f>IF(A77="","",D77)</x:f>
      </x:c>
      <x:c r="F77" s="15"/>
      <x:c r="G77" s="15"/>
      <x:c r="H77" s="16" t="str">
        <x:f>IF(A77="","",(C77+F77+G77)*E77)</x:f>
      </x:c>
      <x:c r="I77" s="16" t="str">
        <x:f>IF(OR(A77="",$C$3&lt;=0),"",ROUND((C77*$C$3+(F77+G77)*$C$4+$C$5)*E77,2))</x:f>
      </x:c>
      <x:c r="J77" s="16" t="str">
        <x:f>IF(I77="","",ROUND(I77*(1+$C$6),2))</x:f>
      </x:c>
      <x:c r="K77" s="16" t="str">
        <x:f>IF(J77="","",ROUND(J77*$C$7,2))</x:f>
      </x:c>
      <x:c r="L77" s="16" t="str">
        <x:f>IF(J77="","",J77+K77)</x:f>
      </x:c>
      <x:c r="M77" s="2"/>
      <x:c r="N77" s="2"/>
      <x:c r="O77" s="2"/>
      <x:c r="P77" s="2"/>
      <x:c r="Q77" s="2"/>
    </x:row>
    <x:row r="78" ht="23" customHeight="1">
      <x:c r="A78" s="2" t="str">
        <x:f>IF(Rute!A70="","",Rute!A70)</x:f>
      </x:c>
      <x:c r="B78" s="2" t="str">
        <x:f>IF(A78="","",Rute!E70)</x:f>
      </x:c>
      <x:c r="C78" s="14" t="str">
        <x:f>IF(A78="","",Rute!F70)</x:f>
      </x:c>
      <x:c r="D78" s="5"/>
      <x:c r="E78" s="2" t="str">
        <x:f>IF(A78="","",D78)</x:f>
      </x:c>
      <x:c r="F78" s="15"/>
      <x:c r="G78" s="15"/>
      <x:c r="H78" s="16" t="str">
        <x:f>IF(A78="","",(C78+F78+G78)*E78)</x:f>
      </x:c>
      <x:c r="I78" s="16" t="str">
        <x:f>IF(OR(A78="",$C$3&lt;=0),"",ROUND((C78*$C$3+(F78+G78)*$C$4+$C$5)*E78,2))</x:f>
      </x:c>
      <x:c r="J78" s="16" t="str">
        <x:f>IF(I78="","",ROUND(I78*(1+$C$6),2))</x:f>
      </x:c>
      <x:c r="K78" s="16" t="str">
        <x:f>IF(J78="","",ROUND(J78*$C$7,2))</x:f>
      </x:c>
      <x:c r="L78" s="16" t="str">
        <x:f>IF(J78="","",J78+K78)</x:f>
      </x:c>
      <x:c r="M78" s="2"/>
      <x:c r="N78" s="2"/>
      <x:c r="O78" s="2"/>
      <x:c r="P78" s="2"/>
      <x:c r="Q78" s="2"/>
    </x:row>
    <x:row r="79" ht="23" customHeight="1">
      <x:c r="A79" s="2" t="str">
        <x:f>IF(Rute!A71="","",Rute!A71)</x:f>
      </x:c>
      <x:c r="B79" s="2" t="str">
        <x:f>IF(A79="","",Rute!E71)</x:f>
      </x:c>
      <x:c r="C79" s="14" t="str">
        <x:f>IF(A79="","",Rute!F71)</x:f>
      </x:c>
      <x:c r="D79" s="5"/>
      <x:c r="E79" s="2" t="str">
        <x:f>IF(A79="","",D79)</x:f>
      </x:c>
      <x:c r="F79" s="15"/>
      <x:c r="G79" s="15"/>
      <x:c r="H79" s="16" t="str">
        <x:f>IF(A79="","",(C79+F79+G79)*E79)</x:f>
      </x:c>
      <x:c r="I79" s="16" t="str">
        <x:f>IF(OR(A79="",$C$3&lt;=0),"",ROUND((C79*$C$3+(F79+G79)*$C$4+$C$5)*E79,2))</x:f>
      </x:c>
      <x:c r="J79" s="16" t="str">
        <x:f>IF(I79="","",ROUND(I79*(1+$C$6),2))</x:f>
      </x:c>
      <x:c r="K79" s="16" t="str">
        <x:f>IF(J79="","",ROUND(J79*$C$7,2))</x:f>
      </x:c>
      <x:c r="L79" s="16" t="str">
        <x:f>IF(J79="","",J79+K79)</x:f>
      </x:c>
      <x:c r="M79" s="2"/>
      <x:c r="N79" s="2"/>
      <x:c r="O79" s="2"/>
      <x:c r="P79" s="2"/>
      <x:c r="Q79" s="2"/>
    </x:row>
    <x:row r="80" ht="23" customHeight="1">
      <x:c r="A80" s="2" t="str">
        <x:f>IF(Rute!A72="","",Rute!A72)</x:f>
      </x:c>
      <x:c r="B80" s="2" t="str">
        <x:f>IF(A80="","",Rute!E72)</x:f>
      </x:c>
      <x:c r="C80" s="14" t="str">
        <x:f>IF(A80="","",Rute!F72)</x:f>
      </x:c>
      <x:c r="D80" s="5"/>
      <x:c r="E80" s="2" t="str">
        <x:f>IF(A80="","",D80)</x:f>
      </x:c>
      <x:c r="F80" s="15"/>
      <x:c r="G80" s="15"/>
      <x:c r="H80" s="16" t="str">
        <x:f>IF(A80="","",(C80+F80+G80)*E80)</x:f>
      </x:c>
      <x:c r="I80" s="16" t="str">
        <x:f>IF(OR(A80="",$C$3&lt;=0),"",ROUND((C80*$C$3+(F80+G80)*$C$4+$C$5)*E80,2))</x:f>
      </x:c>
      <x:c r="J80" s="16" t="str">
        <x:f>IF(I80="","",ROUND(I80*(1+$C$6),2))</x:f>
      </x:c>
      <x:c r="K80" s="16" t="str">
        <x:f>IF(J80="","",ROUND(J80*$C$7,2))</x:f>
      </x:c>
      <x:c r="L80" s="16" t="str">
        <x:f>IF(J80="","",J80+K80)</x:f>
      </x:c>
      <x:c r="M80" s="2"/>
      <x:c r="N80" s="2"/>
      <x:c r="O80" s="2"/>
      <x:c r="P80" s="2"/>
      <x:c r="Q80" s="2"/>
    </x:row>
    <x:row r="81" ht="23" customHeight="1">
      <x:c r="A81" s="2" t="str">
        <x:f>IF(Rute!A73="","",Rute!A73)</x:f>
      </x:c>
      <x:c r="B81" s="2" t="str">
        <x:f>IF(A81="","",Rute!E73)</x:f>
      </x:c>
      <x:c r="C81" s="14" t="str">
        <x:f>IF(A81="","",Rute!F73)</x:f>
      </x:c>
      <x:c r="D81" s="5"/>
      <x:c r="E81" s="2" t="str">
        <x:f>IF(A81="","",D81)</x:f>
      </x:c>
      <x:c r="F81" s="15"/>
      <x:c r="G81" s="15"/>
      <x:c r="H81" s="16" t="str">
        <x:f>IF(A81="","",(C81+F81+G81)*E81)</x:f>
      </x:c>
      <x:c r="I81" s="16" t="str">
        <x:f>IF(OR(A81="",$C$3&lt;=0),"",ROUND((C81*$C$3+(F81+G81)*$C$4+$C$5)*E81,2))</x:f>
      </x:c>
      <x:c r="J81" s="16" t="str">
        <x:f>IF(I81="","",ROUND(I81*(1+$C$6),2))</x:f>
      </x:c>
      <x:c r="K81" s="16" t="str">
        <x:f>IF(J81="","",ROUND(J81*$C$7,2))</x:f>
      </x:c>
      <x:c r="L81" s="16" t="str">
        <x:f>IF(J81="","",J81+K81)</x:f>
      </x:c>
      <x:c r="M81" s="2"/>
      <x:c r="N81" s="2"/>
      <x:c r="O81" s="2"/>
      <x:c r="P81" s="2"/>
      <x:c r="Q81" s="2"/>
    </x:row>
    <x:row r="82" ht="23" customHeight="1">
      <x:c r="A82" s="2" t="str">
        <x:f>IF(Rute!A74="","",Rute!A74)</x:f>
      </x:c>
      <x:c r="B82" s="2" t="str">
        <x:f>IF(A82="","",Rute!E74)</x:f>
      </x:c>
      <x:c r="C82" s="14" t="str">
        <x:f>IF(A82="","",Rute!F74)</x:f>
      </x:c>
      <x:c r="D82" s="5"/>
      <x:c r="E82" s="2" t="str">
        <x:f>IF(A82="","",D82)</x:f>
      </x:c>
      <x:c r="F82" s="15"/>
      <x:c r="G82" s="15"/>
      <x:c r="H82" s="16" t="str">
        <x:f>IF(A82="","",(C82+F82+G82)*E82)</x:f>
      </x:c>
      <x:c r="I82" s="16" t="str">
        <x:f>IF(OR(A82="",$C$3&lt;=0),"",ROUND((C82*$C$3+(F82+G82)*$C$4+$C$5)*E82,2))</x:f>
      </x:c>
      <x:c r="J82" s="16" t="str">
        <x:f>IF(I82="","",ROUND(I82*(1+$C$6),2))</x:f>
      </x:c>
      <x:c r="K82" s="16" t="str">
        <x:f>IF(J82="","",ROUND(J82*$C$7,2))</x:f>
      </x:c>
      <x:c r="L82" s="16" t="str">
        <x:f>IF(J82="","",J82+K82)</x:f>
      </x:c>
      <x:c r="M82" s="2"/>
      <x:c r="N82" s="2"/>
      <x:c r="O82" s="2"/>
      <x:c r="P82" s="2"/>
      <x:c r="Q82" s="2"/>
    </x:row>
    <x:row r="83" ht="23" customHeight="1">
      <x:c r="A83" s="2" t="str">
        <x:f>IF(Rute!A75="","",Rute!A75)</x:f>
      </x:c>
      <x:c r="B83" s="2" t="str">
        <x:f>IF(A83="","",Rute!E75)</x:f>
      </x:c>
      <x:c r="C83" s="14" t="str">
        <x:f>IF(A83="","",Rute!F75)</x:f>
      </x:c>
      <x:c r="D83" s="5"/>
      <x:c r="E83" s="2" t="str">
        <x:f>IF(A83="","",D83)</x:f>
      </x:c>
      <x:c r="F83" s="15"/>
      <x:c r="G83" s="15"/>
      <x:c r="H83" s="16" t="str">
        <x:f>IF(A83="","",(C83+F83+G83)*E83)</x:f>
      </x:c>
      <x:c r="I83" s="16" t="str">
        <x:f>IF(OR(A83="",$C$3&lt;=0),"",ROUND((C83*$C$3+(F83+G83)*$C$4+$C$5)*E83,2))</x:f>
      </x:c>
      <x:c r="J83" s="16" t="str">
        <x:f>IF(I83="","",ROUND(I83*(1+$C$6),2))</x:f>
      </x:c>
      <x:c r="K83" s="16" t="str">
        <x:f>IF(J83="","",ROUND(J83*$C$7,2))</x:f>
      </x:c>
      <x:c r="L83" s="16" t="str">
        <x:f>IF(J83="","",J83+K83)</x:f>
      </x:c>
      <x:c r="M83" s="2"/>
      <x:c r="N83" s="2"/>
      <x:c r="O83" s="2"/>
      <x:c r="P83" s="2"/>
      <x:c r="Q83" s="2"/>
    </x:row>
    <x:row r="84" ht="23" customHeight="1">
      <x:c r="A84" s="2" t="str">
        <x:f>IF(Rute!A76="","",Rute!A76)</x:f>
      </x:c>
      <x:c r="B84" s="2" t="str">
        <x:f>IF(A84="","",Rute!E76)</x:f>
      </x:c>
      <x:c r="C84" s="14" t="str">
        <x:f>IF(A84="","",Rute!F76)</x:f>
      </x:c>
      <x:c r="D84" s="5"/>
      <x:c r="E84" s="2" t="str">
        <x:f>IF(A84="","",D84)</x:f>
      </x:c>
      <x:c r="F84" s="15"/>
      <x:c r="G84" s="15"/>
      <x:c r="H84" s="16" t="str">
        <x:f>IF(A84="","",(C84+F84+G84)*E84)</x:f>
      </x:c>
      <x:c r="I84" s="16" t="str">
        <x:f>IF(OR(A84="",$C$3&lt;=0),"",ROUND((C84*$C$3+(F84+G84)*$C$4+$C$5)*E84,2))</x:f>
      </x:c>
      <x:c r="J84" s="16" t="str">
        <x:f>IF(I84="","",ROUND(I84*(1+$C$6),2))</x:f>
      </x:c>
      <x:c r="K84" s="16" t="str">
        <x:f>IF(J84="","",ROUND(J84*$C$7,2))</x:f>
      </x:c>
      <x:c r="L84" s="16" t="str">
        <x:f>IF(J84="","",J84+K84)</x:f>
      </x:c>
      <x:c r="M84" s="2"/>
      <x:c r="N84" s="2"/>
      <x:c r="O84" s="2"/>
      <x:c r="P84" s="2"/>
      <x:c r="Q84" s="2"/>
    </x:row>
    <x:row r="85" ht="23" customHeight="1">
      <x:c r="A85" s="2" t="str">
        <x:f>IF(Rute!A77="","",Rute!A77)</x:f>
      </x:c>
      <x:c r="B85" s="2" t="str">
        <x:f>IF(A85="","",Rute!E77)</x:f>
      </x:c>
      <x:c r="C85" s="14" t="str">
        <x:f>IF(A85="","",Rute!F77)</x:f>
      </x:c>
      <x:c r="D85" s="5"/>
      <x:c r="E85" s="2" t="str">
        <x:f>IF(A85="","",D85)</x:f>
      </x:c>
      <x:c r="F85" s="15"/>
      <x:c r="G85" s="15"/>
      <x:c r="H85" s="16" t="str">
        <x:f>IF(A85="","",(C85+F85+G85)*E85)</x:f>
      </x:c>
      <x:c r="I85" s="16" t="str">
        <x:f>IF(OR(A85="",$C$3&lt;=0),"",ROUND((C85*$C$3+(F85+G85)*$C$4+$C$5)*E85,2))</x:f>
      </x:c>
      <x:c r="J85" s="16" t="str">
        <x:f>IF(I85="","",ROUND(I85*(1+$C$6),2))</x:f>
      </x:c>
      <x:c r="K85" s="16" t="str">
        <x:f>IF(J85="","",ROUND(J85*$C$7,2))</x:f>
      </x:c>
      <x:c r="L85" s="16" t="str">
        <x:f>IF(J85="","",J85+K85)</x:f>
      </x:c>
      <x:c r="M85" s="2"/>
      <x:c r="N85" s="2"/>
      <x:c r="O85" s="2"/>
      <x:c r="P85" s="2"/>
      <x:c r="Q85" s="2"/>
    </x:row>
    <x:row r="86" ht="23" customHeight="1">
      <x:c r="A86" s="2" t="str">
        <x:f>IF(Rute!A78="","",Rute!A78)</x:f>
      </x:c>
      <x:c r="B86" s="2" t="str">
        <x:f>IF(A86="","",Rute!E78)</x:f>
      </x:c>
      <x:c r="C86" s="14" t="str">
        <x:f>IF(A86="","",Rute!F78)</x:f>
      </x:c>
      <x:c r="D86" s="5"/>
      <x:c r="E86" s="2" t="str">
        <x:f>IF(A86="","",D86)</x:f>
      </x:c>
      <x:c r="F86" s="15"/>
      <x:c r="G86" s="15"/>
      <x:c r="H86" s="16" t="str">
        <x:f>IF(A86="","",(C86+F86+G86)*E86)</x:f>
      </x:c>
      <x:c r="I86" s="16" t="str">
        <x:f>IF(OR(A86="",$C$3&lt;=0),"",ROUND((C86*$C$3+(F86+G86)*$C$4+$C$5)*E86,2))</x:f>
      </x:c>
      <x:c r="J86" s="16" t="str">
        <x:f>IF(I86="","",ROUND(I86*(1+$C$6),2))</x:f>
      </x:c>
      <x:c r="K86" s="16" t="str">
        <x:f>IF(J86="","",ROUND(J86*$C$7,2))</x:f>
      </x:c>
      <x:c r="L86" s="16" t="str">
        <x:f>IF(J86="","",J86+K86)</x:f>
      </x:c>
      <x:c r="M86" s="2"/>
      <x:c r="N86" s="2"/>
      <x:c r="O86" s="2"/>
      <x:c r="P86" s="2"/>
      <x:c r="Q86" s="2"/>
    </x:row>
    <x:row r="87" ht="23" customHeight="1">
      <x:c r="A87" s="2" t="str">
        <x:f>IF(Rute!A79="","",Rute!A79)</x:f>
      </x:c>
      <x:c r="B87" s="2" t="str">
        <x:f>IF(A87="","",Rute!E79)</x:f>
      </x:c>
      <x:c r="C87" s="14" t="str">
        <x:f>IF(A87="","",Rute!F79)</x:f>
      </x:c>
      <x:c r="D87" s="5"/>
      <x:c r="E87" s="2" t="str">
        <x:f>IF(A87="","",D87)</x:f>
      </x:c>
      <x:c r="F87" s="15"/>
      <x:c r="G87" s="15"/>
      <x:c r="H87" s="16" t="str">
        <x:f>IF(A87="","",(C87+F87+G87)*E87)</x:f>
      </x:c>
      <x:c r="I87" s="16" t="str">
        <x:f>IF(OR(A87="",$C$3&lt;=0),"",ROUND((C87*$C$3+(F87+G87)*$C$4+$C$5)*E87,2))</x:f>
      </x:c>
      <x:c r="J87" s="16" t="str">
        <x:f>IF(I87="","",ROUND(I87*(1+$C$6),2))</x:f>
      </x:c>
      <x:c r="K87" s="16" t="str">
        <x:f>IF(J87="","",ROUND(J87*$C$7,2))</x:f>
      </x:c>
      <x:c r="L87" s="16" t="str">
        <x:f>IF(J87="","",J87+K87)</x:f>
      </x:c>
      <x:c r="M87" s="2"/>
      <x:c r="N87" s="2"/>
      <x:c r="O87" s="2"/>
      <x:c r="P87" s="2"/>
      <x:c r="Q87" s="2"/>
    </x:row>
    <x:row r="88" ht="23" customHeight="1">
      <x:c r="A88" s="2" t="str">
        <x:f>IF(Rute!A80="","",Rute!A80)</x:f>
      </x:c>
      <x:c r="B88" s="2" t="str">
        <x:f>IF(A88="","",Rute!E80)</x:f>
      </x:c>
      <x:c r="C88" s="14" t="str">
        <x:f>IF(A88="","",Rute!F80)</x:f>
      </x:c>
      <x:c r="D88" s="5"/>
      <x:c r="E88" s="2" t="str">
        <x:f>IF(A88="","",D88)</x:f>
      </x:c>
      <x:c r="F88" s="15"/>
      <x:c r="G88" s="15"/>
      <x:c r="H88" s="16" t="str">
        <x:f>IF(A88="","",(C88+F88+G88)*E88)</x:f>
      </x:c>
      <x:c r="I88" s="16" t="str">
        <x:f>IF(OR(A88="",$C$3&lt;=0),"",ROUND((C88*$C$3+(F88+G88)*$C$4+$C$5)*E88,2))</x:f>
      </x:c>
      <x:c r="J88" s="16" t="str">
        <x:f>IF(I88="","",ROUND(I88*(1+$C$6),2))</x:f>
      </x:c>
      <x:c r="K88" s="16" t="str">
        <x:f>IF(J88="","",ROUND(J88*$C$7,2))</x:f>
      </x:c>
      <x:c r="L88" s="16" t="str">
        <x:f>IF(J88="","",J88+K88)</x:f>
      </x:c>
      <x:c r="M88" s="2"/>
      <x:c r="N88" s="2"/>
      <x:c r="O88" s="2"/>
      <x:c r="P88" s="2"/>
      <x:c r="Q88" s="2"/>
    </x:row>
    <x:row r="89" ht="23" customHeight="1">
      <x:c r="A89" s="2" t="str">
        <x:f>IF(Rute!A81="","",Rute!A81)</x:f>
      </x:c>
      <x:c r="B89" s="2" t="str">
        <x:f>IF(A89="","",Rute!E81)</x:f>
      </x:c>
      <x:c r="C89" s="14" t="str">
        <x:f>IF(A89="","",Rute!F81)</x:f>
      </x:c>
      <x:c r="D89" s="5"/>
      <x:c r="E89" s="2" t="str">
        <x:f>IF(A89="","",D89)</x:f>
      </x:c>
      <x:c r="F89" s="15"/>
      <x:c r="G89" s="15"/>
      <x:c r="H89" s="16" t="str">
        <x:f>IF(A89="","",(C89+F89+G89)*E89)</x:f>
      </x:c>
      <x:c r="I89" s="16" t="str">
        <x:f>IF(OR(A89="",$C$3&lt;=0),"",ROUND((C89*$C$3+(F89+G89)*$C$4+$C$5)*E89,2))</x:f>
      </x:c>
      <x:c r="J89" s="16" t="str">
        <x:f>IF(I89="","",ROUND(I89*(1+$C$6),2))</x:f>
      </x:c>
      <x:c r="K89" s="16" t="str">
        <x:f>IF(J89="","",ROUND(J89*$C$7,2))</x:f>
      </x:c>
      <x:c r="L89" s="16" t="str">
        <x:f>IF(J89="","",J89+K89)</x:f>
      </x:c>
      <x:c r="M89" s="2"/>
      <x:c r="N89" s="2"/>
      <x:c r="O89" s="2"/>
      <x:c r="P89" s="2"/>
      <x:c r="Q89" s="2"/>
    </x:row>
    <x:row r="90" ht="23" customHeight="1">
      <x:c r="A90" s="2" t="str">
        <x:f>IF(Rute!A82="","",Rute!A82)</x:f>
      </x:c>
      <x:c r="B90" s="2" t="str">
        <x:f>IF(A90="","",Rute!E82)</x:f>
      </x:c>
      <x:c r="C90" s="14" t="str">
        <x:f>IF(A90="","",Rute!F82)</x:f>
      </x:c>
      <x:c r="D90" s="5"/>
      <x:c r="E90" s="2" t="str">
        <x:f>IF(A90="","",D90)</x:f>
      </x:c>
      <x:c r="F90" s="15"/>
      <x:c r="G90" s="15"/>
      <x:c r="H90" s="16" t="str">
        <x:f>IF(A90="","",(C90+F90+G90)*E90)</x:f>
      </x:c>
      <x:c r="I90" s="16" t="str">
        <x:f>IF(OR(A90="",$C$3&lt;=0),"",ROUND((C90*$C$3+(F90+G90)*$C$4+$C$5)*E90,2))</x:f>
      </x:c>
      <x:c r="J90" s="16" t="str">
        <x:f>IF(I90="","",ROUND(I90*(1+$C$6),2))</x:f>
      </x:c>
      <x:c r="K90" s="16" t="str">
        <x:f>IF(J90="","",ROUND(J90*$C$7,2))</x:f>
      </x:c>
      <x:c r="L90" s="16" t="str">
        <x:f>IF(J90="","",J90+K90)</x:f>
      </x:c>
      <x:c r="M90" s="2"/>
      <x:c r="N90" s="2"/>
      <x:c r="O90" s="2"/>
      <x:c r="P90" s="2"/>
      <x:c r="Q90" s="2"/>
    </x:row>
    <x:row r="91" ht="23" customHeight="1">
      <x:c r="A91" s="2" t="str">
        <x:f>IF(Rute!A83="","",Rute!A83)</x:f>
      </x:c>
      <x:c r="B91" s="2" t="str">
        <x:f>IF(A91="","",Rute!E83)</x:f>
      </x:c>
      <x:c r="C91" s="14" t="str">
        <x:f>IF(A91="","",Rute!F83)</x:f>
      </x:c>
      <x:c r="D91" s="5"/>
      <x:c r="E91" s="2" t="str">
        <x:f>IF(A91="","",D91)</x:f>
      </x:c>
      <x:c r="F91" s="15"/>
      <x:c r="G91" s="15"/>
      <x:c r="H91" s="16" t="str">
        <x:f>IF(A91="","",(C91+F91+G91)*E91)</x:f>
      </x:c>
      <x:c r="I91" s="16" t="str">
        <x:f>IF(OR(A91="",$C$3&lt;=0),"",ROUND((C91*$C$3+(F91+G91)*$C$4+$C$5)*E91,2))</x:f>
      </x:c>
      <x:c r="J91" s="16" t="str">
        <x:f>IF(I91="","",ROUND(I91*(1+$C$6),2))</x:f>
      </x:c>
      <x:c r="K91" s="16" t="str">
        <x:f>IF(J91="","",ROUND(J91*$C$7,2))</x:f>
      </x:c>
      <x:c r="L91" s="16" t="str">
        <x:f>IF(J91="","",J91+K91)</x:f>
      </x:c>
      <x:c r="M91" s="2"/>
      <x:c r="N91" s="2"/>
      <x:c r="O91" s="2"/>
      <x:c r="P91" s="2"/>
      <x:c r="Q91" s="2"/>
    </x:row>
    <x:row r="92" ht="23" customHeight="1">
      <x:c r="A92" s="2" t="str">
        <x:f>IF(Rute!A84="","",Rute!A84)</x:f>
      </x:c>
      <x:c r="B92" s="2" t="str">
        <x:f>IF(A92="","",Rute!E84)</x:f>
      </x:c>
      <x:c r="C92" s="14" t="str">
        <x:f>IF(A92="","",Rute!F84)</x:f>
      </x:c>
      <x:c r="D92" s="5"/>
      <x:c r="E92" s="2" t="str">
        <x:f>IF(A92="","",D92)</x:f>
      </x:c>
      <x:c r="F92" s="15"/>
      <x:c r="G92" s="15"/>
      <x:c r="H92" s="16" t="str">
        <x:f>IF(A92="","",(C92+F92+G92)*E92)</x:f>
      </x:c>
      <x:c r="I92" s="16" t="str">
        <x:f>IF(OR(A92="",$C$3&lt;=0),"",ROUND((C92*$C$3+(F92+G92)*$C$4+$C$5)*E92,2))</x:f>
      </x:c>
      <x:c r="J92" s="16" t="str">
        <x:f>IF(I92="","",ROUND(I92*(1+$C$6),2))</x:f>
      </x:c>
      <x:c r="K92" s="16" t="str">
        <x:f>IF(J92="","",ROUND(J92*$C$7,2))</x:f>
      </x:c>
      <x:c r="L92" s="16" t="str">
        <x:f>IF(J92="","",J92+K92)</x:f>
      </x:c>
      <x:c r="M92" s="2"/>
      <x:c r="N92" s="2"/>
      <x:c r="O92" s="2"/>
      <x:c r="P92" s="2"/>
      <x:c r="Q92" s="2"/>
    </x:row>
    <x:row r="93" ht="23" customHeight="1">
      <x:c r="A93" s="2" t="str">
        <x:f>IF(Rute!A85="","",Rute!A85)</x:f>
      </x:c>
      <x:c r="B93" s="2" t="str">
        <x:f>IF(A93="","",Rute!E85)</x:f>
      </x:c>
      <x:c r="C93" s="14" t="str">
        <x:f>IF(A93="","",Rute!F85)</x:f>
      </x:c>
      <x:c r="D93" s="5"/>
      <x:c r="E93" s="2" t="str">
        <x:f>IF(A93="","",D93)</x:f>
      </x:c>
      <x:c r="F93" s="15"/>
      <x:c r="G93" s="15"/>
      <x:c r="H93" s="16" t="str">
        <x:f>IF(A93="","",(C93+F93+G93)*E93)</x:f>
      </x:c>
      <x:c r="I93" s="16" t="str">
        <x:f>IF(OR(A93="",$C$3&lt;=0),"",ROUND((C93*$C$3+(F93+G93)*$C$4+$C$5)*E93,2))</x:f>
      </x:c>
      <x:c r="J93" s="16" t="str">
        <x:f>IF(I93="","",ROUND(I93*(1+$C$6),2))</x:f>
      </x:c>
      <x:c r="K93" s="16" t="str">
        <x:f>IF(J93="","",ROUND(J93*$C$7,2))</x:f>
      </x:c>
      <x:c r="L93" s="16" t="str">
        <x:f>IF(J93="","",J93+K93)</x:f>
      </x:c>
      <x:c r="M93" s="2"/>
      <x:c r="N93" s="2"/>
      <x:c r="O93" s="2"/>
      <x:c r="P93" s="2"/>
      <x:c r="Q93" s="2"/>
    </x:row>
    <x:row r="94" ht="23" customHeight="1">
      <x:c r="A94" s="2" t="str">
        <x:f>IF(Rute!A86="","",Rute!A86)</x:f>
      </x:c>
      <x:c r="B94" s="2" t="str">
        <x:f>IF(A94="","",Rute!E86)</x:f>
      </x:c>
      <x:c r="C94" s="14" t="str">
        <x:f>IF(A94="","",Rute!F86)</x:f>
      </x:c>
      <x:c r="D94" s="5"/>
      <x:c r="E94" s="2" t="str">
        <x:f>IF(A94="","",D94)</x:f>
      </x:c>
      <x:c r="F94" s="15"/>
      <x:c r="G94" s="15"/>
      <x:c r="H94" s="16" t="str">
        <x:f>IF(A94="","",(C94+F94+G94)*E94)</x:f>
      </x:c>
      <x:c r="I94" s="16" t="str">
        <x:f>IF(OR(A94="",$C$3&lt;=0),"",ROUND((C94*$C$3+(F94+G94)*$C$4+$C$5)*E94,2))</x:f>
      </x:c>
      <x:c r="J94" s="16" t="str">
        <x:f>IF(I94="","",ROUND(I94*(1+$C$6),2))</x:f>
      </x:c>
      <x:c r="K94" s="16" t="str">
        <x:f>IF(J94="","",ROUND(J94*$C$7,2))</x:f>
      </x:c>
      <x:c r="L94" s="16" t="str">
        <x:f>IF(J94="","",J94+K94)</x:f>
      </x:c>
      <x:c r="M94" s="2"/>
      <x:c r="N94" s="2"/>
      <x:c r="O94" s="2"/>
      <x:c r="P94" s="2"/>
      <x:c r="Q94" s="2"/>
    </x:row>
    <x:row r="95" ht="23" customHeight="1">
      <x:c r="A95" s="2" t="str">
        <x:f>IF(Rute!A87="","",Rute!A87)</x:f>
      </x:c>
      <x:c r="B95" s="2" t="str">
        <x:f>IF(A95="","",Rute!E87)</x:f>
      </x:c>
      <x:c r="C95" s="14" t="str">
        <x:f>IF(A95="","",Rute!F87)</x:f>
      </x:c>
      <x:c r="D95" s="5"/>
      <x:c r="E95" s="2" t="str">
        <x:f>IF(A95="","",D95)</x:f>
      </x:c>
      <x:c r="F95" s="15"/>
      <x:c r="G95" s="15"/>
      <x:c r="H95" s="16" t="str">
        <x:f>IF(A95="","",(C95+F95+G95)*E95)</x:f>
      </x:c>
      <x:c r="I95" s="16" t="str">
        <x:f>IF(OR(A95="",$C$3&lt;=0),"",ROUND((C95*$C$3+(F95+G95)*$C$4+$C$5)*E95,2))</x:f>
      </x:c>
      <x:c r="J95" s="16" t="str">
        <x:f>IF(I95="","",ROUND(I95*(1+$C$6),2))</x:f>
      </x:c>
      <x:c r="K95" s="16" t="str">
        <x:f>IF(J95="","",ROUND(J95*$C$7,2))</x:f>
      </x:c>
      <x:c r="L95" s="16" t="str">
        <x:f>IF(J95="","",J95+K95)</x:f>
      </x:c>
      <x:c r="M95" s="2"/>
      <x:c r="N95" s="2"/>
      <x:c r="O95" s="2"/>
      <x:c r="P95" s="2"/>
      <x:c r="Q95" s="2"/>
    </x:row>
    <x:row r="96" ht="23" customHeight="1">
      <x:c r="A96" s="2" t="str">
        <x:f>IF(Rute!A88="","",Rute!A88)</x:f>
      </x:c>
      <x:c r="B96" s="2" t="str">
        <x:f>IF(A96="","",Rute!E88)</x:f>
      </x:c>
      <x:c r="C96" s="14" t="str">
        <x:f>IF(A96="","",Rute!F88)</x:f>
      </x:c>
      <x:c r="D96" s="5"/>
      <x:c r="E96" s="2" t="str">
        <x:f>IF(A96="","",D96)</x:f>
      </x:c>
      <x:c r="F96" s="15"/>
      <x:c r="G96" s="15"/>
      <x:c r="H96" s="16" t="str">
        <x:f>IF(A96="","",(C96+F96+G96)*E96)</x:f>
      </x:c>
      <x:c r="I96" s="16" t="str">
        <x:f>IF(OR(A96="",$C$3&lt;=0),"",ROUND((C96*$C$3+(F96+G96)*$C$4+$C$5)*E96,2))</x:f>
      </x:c>
      <x:c r="J96" s="16" t="str">
        <x:f>IF(I96="","",ROUND(I96*(1+$C$6),2))</x:f>
      </x:c>
      <x:c r="K96" s="16" t="str">
        <x:f>IF(J96="","",ROUND(J96*$C$7,2))</x:f>
      </x:c>
      <x:c r="L96" s="16" t="str">
        <x:f>IF(J96="","",J96+K96)</x:f>
      </x:c>
      <x:c r="M96" s="2"/>
      <x:c r="N96" s="2"/>
      <x:c r="O96" s="2"/>
      <x:c r="P96" s="2"/>
      <x:c r="Q96" s="2"/>
    </x:row>
    <x:row r="97" ht="23" customHeight="1">
      <x:c r="A97" s="2" t="str">
        <x:f>IF(Rute!A89="","",Rute!A89)</x:f>
      </x:c>
      <x:c r="B97" s="2" t="str">
        <x:f>IF(A97="","",Rute!E89)</x:f>
      </x:c>
      <x:c r="C97" s="14" t="str">
        <x:f>IF(A97="","",Rute!F89)</x:f>
      </x:c>
      <x:c r="D97" s="5"/>
      <x:c r="E97" s="2" t="str">
        <x:f>IF(A97="","",D97)</x:f>
      </x:c>
      <x:c r="F97" s="15"/>
      <x:c r="G97" s="15"/>
      <x:c r="H97" s="16" t="str">
        <x:f>IF(A97="","",(C97+F97+G97)*E97)</x:f>
      </x:c>
      <x:c r="I97" s="16" t="str">
        <x:f>IF(OR(A97="",$C$3&lt;=0),"",ROUND((C97*$C$3+(F97+G97)*$C$4+$C$5)*E97,2))</x:f>
      </x:c>
      <x:c r="J97" s="16" t="str">
        <x:f>IF(I97="","",ROUND(I97*(1+$C$6),2))</x:f>
      </x:c>
      <x:c r="K97" s="16" t="str">
        <x:f>IF(J97="","",ROUND(J97*$C$7,2))</x:f>
      </x:c>
      <x:c r="L97" s="16" t="str">
        <x:f>IF(J97="","",J97+K97)</x:f>
      </x:c>
      <x:c r="M97" s="2"/>
      <x:c r="N97" s="2"/>
      <x:c r="O97" s="2"/>
      <x:c r="P97" s="2"/>
      <x:c r="Q97" s="2"/>
    </x:row>
    <x:row r="98" ht="23" customHeight="1">
      <x:c r="A98" s="2" t="str">
        <x:f>IF(Rute!A90="","",Rute!A90)</x:f>
      </x:c>
      <x:c r="B98" s="2" t="str">
        <x:f>IF(A98="","",Rute!E90)</x:f>
      </x:c>
      <x:c r="C98" s="14" t="str">
        <x:f>IF(A98="","",Rute!F90)</x:f>
      </x:c>
      <x:c r="D98" s="5"/>
      <x:c r="E98" s="2" t="str">
        <x:f>IF(A98="","",D98)</x:f>
      </x:c>
      <x:c r="F98" s="15"/>
      <x:c r="G98" s="15"/>
      <x:c r="H98" s="16" t="str">
        <x:f>IF(A98="","",(C98+F98+G98)*E98)</x:f>
      </x:c>
      <x:c r="I98" s="16" t="str">
        <x:f>IF(OR(A98="",$C$3&lt;=0),"",ROUND((C98*$C$3+(F98+G98)*$C$4+$C$5)*E98,2))</x:f>
      </x:c>
      <x:c r="J98" s="16" t="str">
        <x:f>IF(I98="","",ROUND(I98*(1+$C$6),2))</x:f>
      </x:c>
      <x:c r="K98" s="16" t="str">
        <x:f>IF(J98="","",ROUND(J98*$C$7,2))</x:f>
      </x:c>
      <x:c r="L98" s="16" t="str">
        <x:f>IF(J98="","",J98+K98)</x:f>
      </x:c>
      <x:c r="M98" s="2"/>
      <x:c r="N98" s="2"/>
      <x:c r="O98" s="2"/>
      <x:c r="P98" s="2"/>
      <x:c r="Q98" s="2"/>
    </x:row>
    <x:row r="99" ht="23" customHeight="1">
      <x:c r="A99" s="2" t="str">
        <x:f>IF(Rute!A91="","",Rute!A91)</x:f>
      </x:c>
      <x:c r="B99" s="2" t="str">
        <x:f>IF(A99="","",Rute!E91)</x:f>
      </x:c>
      <x:c r="C99" s="14" t="str">
        <x:f>IF(A99="","",Rute!F91)</x:f>
      </x:c>
      <x:c r="D99" s="5"/>
      <x:c r="E99" s="2" t="str">
        <x:f>IF(A99="","",D99)</x:f>
      </x:c>
      <x:c r="F99" s="15"/>
      <x:c r="G99" s="15"/>
      <x:c r="H99" s="16" t="str">
        <x:f>IF(A99="","",(C99+F99+G99)*E99)</x:f>
      </x:c>
      <x:c r="I99" s="16" t="str">
        <x:f>IF(OR(A99="",$C$3&lt;=0),"",ROUND((C99*$C$3+(F99+G99)*$C$4+$C$5)*E99,2))</x:f>
      </x:c>
      <x:c r="J99" s="16" t="str">
        <x:f>IF(I99="","",ROUND(I99*(1+$C$6),2))</x:f>
      </x:c>
      <x:c r="K99" s="16" t="str">
        <x:f>IF(J99="","",ROUND(J99*$C$7,2))</x:f>
      </x:c>
      <x:c r="L99" s="16" t="str">
        <x:f>IF(J99="","",J99+K99)</x:f>
      </x:c>
      <x:c r="M99" s="2"/>
      <x:c r="N99" s="2"/>
      <x:c r="O99" s="2"/>
      <x:c r="P99" s="2"/>
      <x:c r="Q99" s="2"/>
    </x:row>
    <x:row r="100" ht="23" customHeight="1">
      <x:c r="A100" s="2" t="str">
        <x:f>IF(Rute!A92="","",Rute!A92)</x:f>
      </x:c>
      <x:c r="B100" s="2" t="str">
        <x:f>IF(A100="","",Rute!E92)</x:f>
      </x:c>
      <x:c r="C100" s="14" t="str">
        <x:f>IF(A100="","",Rute!F92)</x:f>
      </x:c>
      <x:c r="D100" s="5"/>
      <x:c r="E100" s="2" t="str">
        <x:f>IF(A100="","",D100)</x:f>
      </x:c>
      <x:c r="F100" s="15"/>
      <x:c r="G100" s="15"/>
      <x:c r="H100" s="16" t="str">
        <x:f>IF(A100="","",(C100+F100+G100)*E100)</x:f>
      </x:c>
      <x:c r="I100" s="16" t="str">
        <x:f>IF(OR(A100="",$C$3&lt;=0),"",ROUND((C100*$C$3+(F100+G100)*$C$4+$C$5)*E100,2))</x:f>
      </x:c>
      <x:c r="J100" s="16" t="str">
        <x:f>IF(I100="","",ROUND(I100*(1+$C$6),2))</x:f>
      </x:c>
      <x:c r="K100" s="16" t="str">
        <x:f>IF(J100="","",ROUND(J100*$C$7,2))</x:f>
      </x:c>
      <x:c r="L100" s="16" t="str">
        <x:f>IF(J100="","",J100+K100)</x:f>
      </x:c>
      <x:c r="M100" s="2"/>
      <x:c r="N100" s="2"/>
      <x:c r="O100" s="2"/>
      <x:c r="P100" s="2"/>
      <x:c r="Q100" s="2"/>
    </x:row>
    <x:row r="101" ht="23" customHeight="1">
      <x:c r="A101" s="2" t="str">
        <x:f>IF(Rute!A93="","",Rute!A93)</x:f>
      </x:c>
      <x:c r="B101" s="2" t="str">
        <x:f>IF(A101="","",Rute!E93)</x:f>
      </x:c>
      <x:c r="C101" s="14" t="str">
        <x:f>IF(A101="","",Rute!F93)</x:f>
      </x:c>
      <x:c r="D101" s="5"/>
      <x:c r="E101" s="2" t="str">
        <x:f>IF(A101="","",D101)</x:f>
      </x:c>
      <x:c r="F101" s="15"/>
      <x:c r="G101" s="15"/>
      <x:c r="H101" s="16" t="str">
        <x:f>IF(A101="","",(C101+F101+G101)*E101)</x:f>
      </x:c>
      <x:c r="I101" s="16" t="str">
        <x:f>IF(OR(A101="",$C$3&lt;=0),"",ROUND((C101*$C$3+(F101+G101)*$C$4+$C$5)*E101,2))</x:f>
      </x:c>
      <x:c r="J101" s="16" t="str">
        <x:f>IF(I101="","",ROUND(I101*(1+$C$6),2))</x:f>
      </x:c>
      <x:c r="K101" s="16" t="str">
        <x:f>IF(J101="","",ROUND(J101*$C$7,2))</x:f>
      </x:c>
      <x:c r="L101" s="16" t="str">
        <x:f>IF(J101="","",J101+K101)</x:f>
      </x:c>
      <x:c r="M101" s="2"/>
      <x:c r="N101" s="2"/>
      <x:c r="O101" s="2"/>
      <x:c r="P101" s="2"/>
      <x:c r="Q101" s="2"/>
    </x:row>
    <x:row r="102" ht="23" customHeight="1">
      <x:c r="A102" s="2" t="str">
        <x:f>IF(Rute!A94="","",Rute!A94)</x:f>
      </x:c>
      <x:c r="B102" s="2" t="str">
        <x:f>IF(A102="","",Rute!E94)</x:f>
      </x:c>
      <x:c r="C102" s="14" t="str">
        <x:f>IF(A102="","",Rute!F94)</x:f>
      </x:c>
      <x:c r="D102" s="5"/>
      <x:c r="E102" s="2" t="str">
        <x:f>IF(A102="","",D102)</x:f>
      </x:c>
      <x:c r="F102" s="15"/>
      <x:c r="G102" s="15"/>
      <x:c r="H102" s="16" t="str">
        <x:f>IF(A102="","",(C102+F102+G102)*E102)</x:f>
      </x:c>
      <x:c r="I102" s="16" t="str">
        <x:f>IF(OR(A102="",$C$3&lt;=0),"",ROUND((C102*$C$3+(F102+G102)*$C$4+$C$5)*E102,2))</x:f>
      </x:c>
      <x:c r="J102" s="16" t="str">
        <x:f>IF(I102="","",ROUND(I102*(1+$C$6),2))</x:f>
      </x:c>
      <x:c r="K102" s="16" t="str">
        <x:f>IF(J102="","",ROUND(J102*$C$7,2))</x:f>
      </x:c>
      <x:c r="L102" s="16" t="str">
        <x:f>IF(J102="","",J102+K102)</x:f>
      </x:c>
      <x:c r="M102" s="2"/>
      <x:c r="N102" s="2"/>
      <x:c r="O102" s="2"/>
      <x:c r="P102" s="2"/>
      <x:c r="Q102" s="2"/>
    </x:row>
    <x:row r="103" ht="23" customHeight="1">
      <x:c r="A103" s="2" t="str">
        <x:f>IF(Rute!A95="","",Rute!A95)</x:f>
      </x:c>
      <x:c r="B103" s="2" t="str">
        <x:f>IF(A103="","",Rute!E95)</x:f>
      </x:c>
      <x:c r="C103" s="14" t="str">
        <x:f>IF(A103="","",Rute!F95)</x:f>
      </x:c>
      <x:c r="D103" s="5"/>
      <x:c r="E103" s="2" t="str">
        <x:f>IF(A103="","",D103)</x:f>
      </x:c>
      <x:c r="F103" s="15"/>
      <x:c r="G103" s="15"/>
      <x:c r="H103" s="16" t="str">
        <x:f>IF(A103="","",(C103+F103+G103)*E103)</x:f>
      </x:c>
      <x:c r="I103" s="16" t="str">
        <x:f>IF(OR(A103="",$C$3&lt;=0),"",ROUND((C103*$C$3+(F103+G103)*$C$4+$C$5)*E103,2))</x:f>
      </x:c>
      <x:c r="J103" s="16" t="str">
        <x:f>IF(I103="","",ROUND(I103*(1+$C$6),2))</x:f>
      </x:c>
      <x:c r="K103" s="16" t="str">
        <x:f>IF(J103="","",ROUND(J103*$C$7,2))</x:f>
      </x:c>
      <x:c r="L103" s="16" t="str">
        <x:f>IF(J103="","",J103+K103)</x:f>
      </x:c>
      <x:c r="M103" s="2"/>
      <x:c r="N103" s="2"/>
      <x:c r="O103" s="2"/>
      <x:c r="P103" s="2"/>
      <x:c r="Q103" s="2"/>
    </x:row>
    <x:row r="104" ht="23" customHeight="1">
      <x:c r="A104" s="2" t="str">
        <x:f>IF(Rute!A96="","",Rute!A96)</x:f>
      </x:c>
      <x:c r="B104" s="2" t="str">
        <x:f>IF(A104="","",Rute!E96)</x:f>
      </x:c>
      <x:c r="C104" s="14" t="str">
        <x:f>IF(A104="","",Rute!F96)</x:f>
      </x:c>
      <x:c r="D104" s="5"/>
      <x:c r="E104" s="2" t="str">
        <x:f>IF(A104="","",D104)</x:f>
      </x:c>
      <x:c r="F104" s="15"/>
      <x:c r="G104" s="15"/>
      <x:c r="H104" s="16" t="str">
        <x:f>IF(A104="","",(C104+F104+G104)*E104)</x:f>
      </x:c>
      <x:c r="I104" s="16" t="str">
        <x:f>IF(OR(A104="",$C$3&lt;=0),"",ROUND((C104*$C$3+(F104+G104)*$C$4+$C$5)*E104,2))</x:f>
      </x:c>
      <x:c r="J104" s="16" t="str">
        <x:f>IF(I104="","",ROUND(I104*(1+$C$6),2))</x:f>
      </x:c>
      <x:c r="K104" s="16" t="str">
        <x:f>IF(J104="","",ROUND(J104*$C$7,2))</x:f>
      </x:c>
      <x:c r="L104" s="16" t="str">
        <x:f>IF(J104="","",J104+K104)</x:f>
      </x:c>
      <x:c r="M104" s="2"/>
      <x:c r="N104" s="2"/>
      <x:c r="O104" s="2"/>
      <x:c r="P104" s="2"/>
      <x:c r="Q104" s="2"/>
    </x:row>
    <x:row r="105" ht="23" customHeight="1">
      <x:c r="A105" s="2" t="str">
        <x:f>IF(Rute!A97="","",Rute!A97)</x:f>
      </x:c>
      <x:c r="B105" s="2" t="str">
        <x:f>IF(A105="","",Rute!E97)</x:f>
      </x:c>
      <x:c r="C105" s="14" t="str">
        <x:f>IF(A105="","",Rute!F97)</x:f>
      </x:c>
      <x:c r="D105" s="5"/>
      <x:c r="E105" s="2" t="str">
        <x:f>IF(A105="","",D105)</x:f>
      </x:c>
      <x:c r="F105" s="15"/>
      <x:c r="G105" s="15"/>
      <x:c r="H105" s="16" t="str">
        <x:f>IF(A105="","",(C105+F105+G105)*E105)</x:f>
      </x:c>
      <x:c r="I105" s="16" t="str">
        <x:f>IF(OR(A105="",$C$3&lt;=0),"",ROUND((C105*$C$3+(F105+G105)*$C$4+$C$5)*E105,2))</x:f>
      </x:c>
      <x:c r="J105" s="16" t="str">
        <x:f>IF(I105="","",ROUND(I105*(1+$C$6),2))</x:f>
      </x:c>
      <x:c r="K105" s="16" t="str">
        <x:f>IF(J105="","",ROUND(J105*$C$7,2))</x:f>
      </x:c>
      <x:c r="L105" s="16" t="str">
        <x:f>IF(J105="","",J105+K105)</x:f>
      </x:c>
      <x:c r="M105" s="2"/>
      <x:c r="N105" s="2"/>
      <x:c r="O105" s="2"/>
      <x:c r="P105" s="2"/>
      <x:c r="Q105" s="2"/>
    </x:row>
    <x:row r="106" ht="23" customHeight="1">
      <x:c r="A106" s="2" t="str">
        <x:f>IF(Rute!A98="","",Rute!A98)</x:f>
      </x:c>
      <x:c r="B106" s="2" t="str">
        <x:f>IF(A106="","",Rute!E98)</x:f>
      </x:c>
      <x:c r="C106" s="14" t="str">
        <x:f>IF(A106="","",Rute!F98)</x:f>
      </x:c>
      <x:c r="D106" s="5"/>
      <x:c r="E106" s="2" t="str">
        <x:f>IF(A106="","",D106)</x:f>
      </x:c>
      <x:c r="F106" s="15"/>
      <x:c r="G106" s="15"/>
      <x:c r="H106" s="16" t="str">
        <x:f>IF(A106="","",(C106+F106+G106)*E106)</x:f>
      </x:c>
      <x:c r="I106" s="16" t="str">
        <x:f>IF(OR(A106="",$C$3&lt;=0),"",ROUND((C106*$C$3+(F106+G106)*$C$4+$C$5)*E106,2))</x:f>
      </x:c>
      <x:c r="J106" s="16" t="str">
        <x:f>IF(I106="","",ROUND(I106*(1+$C$6),2))</x:f>
      </x:c>
      <x:c r="K106" s="16" t="str">
        <x:f>IF(J106="","",ROUND(J106*$C$7,2))</x:f>
      </x:c>
      <x:c r="L106" s="16" t="str">
        <x:f>IF(J106="","",J106+K106)</x:f>
      </x:c>
      <x:c r="M106" s="2"/>
      <x:c r="N106" s="2"/>
      <x:c r="O106" s="2"/>
      <x:c r="P106" s="2"/>
      <x:c r="Q106" s="2"/>
    </x:row>
    <x:row r="107" ht="23" customHeight="1">
      <x:c r="A107" s="2" t="str">
        <x:f>IF(Rute!A99="","",Rute!A99)</x:f>
      </x:c>
      <x:c r="B107" s="2" t="str">
        <x:f>IF(A107="","",Rute!E99)</x:f>
      </x:c>
      <x:c r="C107" s="14" t="str">
        <x:f>IF(A107="","",Rute!F99)</x:f>
      </x:c>
      <x:c r="D107" s="5"/>
      <x:c r="E107" s="2" t="str">
        <x:f>IF(A107="","",D107)</x:f>
      </x:c>
      <x:c r="F107" s="15"/>
      <x:c r="G107" s="15"/>
      <x:c r="H107" s="16" t="str">
        <x:f>IF(A107="","",(C107+F107+G107)*E107)</x:f>
      </x:c>
      <x:c r="I107" s="16" t="str">
        <x:f>IF(OR(A107="",$C$3&lt;=0),"",ROUND((C107*$C$3+(F107+G107)*$C$4+$C$5)*E107,2))</x:f>
      </x:c>
      <x:c r="J107" s="16" t="str">
        <x:f>IF(I107="","",ROUND(I107*(1+$C$6),2))</x:f>
      </x:c>
      <x:c r="K107" s="16" t="str">
        <x:f>IF(J107="","",ROUND(J107*$C$7,2))</x:f>
      </x:c>
      <x:c r="L107" s="16" t="str">
        <x:f>IF(J107="","",J107+K107)</x:f>
      </x:c>
      <x:c r="M107" s="2"/>
      <x:c r="N107" s="2"/>
      <x:c r="O107" s="2"/>
      <x:c r="P107" s="2"/>
      <x:c r="Q107" s="2"/>
    </x:row>
    <x:row r="108" ht="23" customHeight="1">
      <x:c r="A108" s="2" t="str">
        <x:f>IF(Rute!A100="","",Rute!A100)</x:f>
      </x:c>
      <x:c r="B108" s="2" t="str">
        <x:f>IF(A108="","",Rute!E100)</x:f>
      </x:c>
      <x:c r="C108" s="14" t="str">
        <x:f>IF(A108="","",Rute!F100)</x:f>
      </x:c>
      <x:c r="D108" s="5"/>
      <x:c r="E108" s="2" t="str">
        <x:f>IF(A108="","",D108)</x:f>
      </x:c>
      <x:c r="F108" s="15"/>
      <x:c r="G108" s="15"/>
      <x:c r="H108" s="16" t="str">
        <x:f>IF(A108="","",(C108+F108+G108)*E108)</x:f>
      </x:c>
      <x:c r="I108" s="16" t="str">
        <x:f>IF(OR(A108="",$C$3&lt;=0),"",ROUND((C108*$C$3+(F108+G108)*$C$4+$C$5)*E108,2))</x:f>
      </x:c>
      <x:c r="J108" s="16" t="str">
        <x:f>IF(I108="","",ROUND(I108*(1+$C$6),2))</x:f>
      </x:c>
      <x:c r="K108" s="16" t="str">
        <x:f>IF(J108="","",ROUND(J108*$C$7,2))</x:f>
      </x:c>
      <x:c r="L108" s="16" t="str">
        <x:f>IF(J108="","",J108+K108)</x:f>
      </x:c>
      <x:c r="M108" s="2"/>
      <x:c r="N108" s="2"/>
      <x:c r="O108" s="2"/>
      <x:c r="P108" s="2"/>
      <x:c r="Q108" s="2"/>
    </x:row>
    <x:row r="109" ht="23" customHeight="1">
      <x:c r="A109" s="2" t="str">
        <x:f>IF(Rute!A101="","",Rute!A101)</x:f>
      </x:c>
      <x:c r="B109" s="2" t="str">
        <x:f>IF(A109="","",Rute!E101)</x:f>
      </x:c>
      <x:c r="C109" s="14" t="str">
        <x:f>IF(A109="","",Rute!F101)</x:f>
      </x:c>
      <x:c r="D109" s="5"/>
      <x:c r="E109" s="2" t="str">
        <x:f>IF(A109="","",D109)</x:f>
      </x:c>
      <x:c r="F109" s="15"/>
      <x:c r="G109" s="15"/>
      <x:c r="H109" s="16" t="str">
        <x:f>IF(A109="","",(C109+F109+G109)*E109)</x:f>
      </x:c>
      <x:c r="I109" s="16" t="str">
        <x:f>IF(OR(A109="",$C$3&lt;=0),"",ROUND((C109*$C$3+(F109+G109)*$C$4+$C$5)*E109,2))</x:f>
      </x:c>
      <x:c r="J109" s="16" t="str">
        <x:f>IF(I109="","",ROUND(I109*(1+$C$6),2))</x:f>
      </x:c>
      <x:c r="K109" s="16" t="str">
        <x:f>IF(J109="","",ROUND(J109*$C$7,2))</x:f>
      </x:c>
      <x:c r="L109" s="16" t="str">
        <x:f>IF(J109="","",J109+K109)</x:f>
      </x:c>
      <x:c r="M109" s="2"/>
      <x:c r="N109" s="2"/>
      <x:c r="O109" s="2"/>
      <x:c r="P109" s="2"/>
      <x:c r="Q109" s="2"/>
    </x:row>
    <x:row r="110" ht="23" customHeight="1">
      <x:c r="A110" s="2" t="str">
        <x:f>IF(Rute!A102="","",Rute!A102)</x:f>
      </x:c>
      <x:c r="B110" s="2" t="str">
        <x:f>IF(A110="","",Rute!E102)</x:f>
      </x:c>
      <x:c r="C110" s="14" t="str">
        <x:f>IF(A110="","",Rute!F102)</x:f>
      </x:c>
      <x:c r="D110" s="5"/>
      <x:c r="E110" s="2" t="str">
        <x:f>IF(A110="","",D110)</x:f>
      </x:c>
      <x:c r="F110" s="15"/>
      <x:c r="G110" s="15"/>
      <x:c r="H110" s="16" t="str">
        <x:f>IF(A110="","",(C110+F110+G110)*E110)</x:f>
      </x:c>
      <x:c r="I110" s="16" t="str">
        <x:f>IF(OR(A110="",$C$3&lt;=0),"",ROUND((C110*$C$3+(F110+G110)*$C$4+$C$5)*E110,2))</x:f>
      </x:c>
      <x:c r="J110" s="16" t="str">
        <x:f>IF(I110="","",ROUND(I110*(1+$C$6),2))</x:f>
      </x:c>
      <x:c r="K110" s="16" t="str">
        <x:f>IF(J110="","",ROUND(J110*$C$7,2))</x:f>
      </x:c>
      <x:c r="L110" s="16" t="str">
        <x:f>IF(J110="","",J110+K110)</x:f>
      </x:c>
      <x:c r="M110" s="2"/>
      <x:c r="N110" s="2"/>
      <x:c r="O110" s="2"/>
      <x:c r="P110" s="2"/>
      <x:c r="Q110" s="2"/>
    </x:row>
    <x:row r="111" ht="23" customHeight="1">
      <x:c r="A111" s="2" t="str">
        <x:f>IF(Rute!A103="","",Rute!A103)</x:f>
      </x:c>
      <x:c r="B111" s="2" t="str">
        <x:f>IF(A111="","",Rute!E103)</x:f>
      </x:c>
      <x:c r="C111" s="14" t="str">
        <x:f>IF(A111="","",Rute!F103)</x:f>
      </x:c>
      <x:c r="D111" s="5"/>
      <x:c r="E111" s="2" t="str">
        <x:f>IF(A111="","",D111)</x:f>
      </x:c>
      <x:c r="F111" s="15"/>
      <x:c r="G111" s="15"/>
      <x:c r="H111" s="16" t="str">
        <x:f>IF(A111="","",(C111+F111+G111)*E111)</x:f>
      </x:c>
      <x:c r="I111" s="16" t="str">
        <x:f>IF(OR(A111="",$C$3&lt;=0),"",ROUND((C111*$C$3+(F111+G111)*$C$4+$C$5)*E111,2))</x:f>
      </x:c>
      <x:c r="J111" s="16" t="str">
        <x:f>IF(I111="","",ROUND(I111*(1+$C$6),2))</x:f>
      </x:c>
      <x:c r="K111" s="16" t="str">
        <x:f>IF(J111="","",ROUND(J111*$C$7,2))</x:f>
      </x:c>
      <x:c r="L111" s="16" t="str">
        <x:f>IF(J111="","",J111+K111)</x:f>
      </x:c>
      <x:c r="M111" s="2"/>
      <x:c r="N111" s="2"/>
      <x:c r="O111" s="2"/>
      <x:c r="P111" s="2"/>
      <x:c r="Q111" s="2"/>
    </x:row>
    <x:row r="112" ht="23" customHeight="1">
      <x:c r="A112" s="2" t="str">
        <x:f>IF(Rute!A104="","",Rute!A104)</x:f>
      </x:c>
      <x:c r="B112" s="2" t="str">
        <x:f>IF(A112="","",Rute!E104)</x:f>
      </x:c>
      <x:c r="C112" s="14" t="str">
        <x:f>IF(A112="","",Rute!F104)</x:f>
      </x:c>
      <x:c r="D112" s="5"/>
      <x:c r="E112" s="2" t="str">
        <x:f>IF(A112="","",D112)</x:f>
      </x:c>
      <x:c r="F112" s="15"/>
      <x:c r="G112" s="15"/>
      <x:c r="H112" s="16" t="str">
        <x:f>IF(A112="","",(C112+F112+G112)*E112)</x:f>
      </x:c>
      <x:c r="I112" s="16" t="str">
        <x:f>IF(OR(A112="",$C$3&lt;=0),"",ROUND((C112*$C$3+(F112+G112)*$C$4+$C$5)*E112,2))</x:f>
      </x:c>
      <x:c r="J112" s="16" t="str">
        <x:f>IF(I112="","",ROUND(I112*(1+$C$6),2))</x:f>
      </x:c>
      <x:c r="K112" s="16" t="str">
        <x:f>IF(J112="","",ROUND(J112*$C$7,2))</x:f>
      </x:c>
      <x:c r="L112" s="16" t="str">
        <x:f>IF(J112="","",J112+K112)</x:f>
      </x:c>
      <x:c r="M112" s="2"/>
      <x:c r="N112" s="2"/>
      <x:c r="O112" s="2"/>
      <x:c r="P112" s="2"/>
      <x:c r="Q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28" hidden="0" customWidth="1"/>
    <x:col min="16" max="16" width="28" hidden="0" customWidth="1"/>
    <x:col min="17" max="17" width="18" hidden="0" customWidth="1"/>
  </x:cols>
  <x:sheetData>
    <x:row r="1" ht="23" customHeight="1">
      <x:c r="A1" s="2"/>
      <x:c r="B1" s="4" t="str">
        <x:v>Rute și configurații salvate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 t="str">
        <x:v>Sursa: răspuns Valhalla și profilul confirmat la calcul. Rute propuse, fără autorizare AST.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0" customHeight="1">
      <x:c r="A4" s="13" t="str">
        <x:v>Nr.</x:v>
      </x:c>
      <x:c r="B4" s="13" t="str">
        <x:v>Produs</x:v>
      </x:c>
      <x:c r="C4" s="13" t="str">
        <x:v>Vehicul</x:v>
      </x:c>
      <x:c r="D4" s="13" t="str">
        <x:v>Plecare</x:v>
      </x:c>
      <x:c r="E4" s="13" t="str">
        <x:v>Destinație</x:v>
      </x:c>
      <x:c r="F4" s="13" t="str">
        <x:v>km sens unic</x:v>
      </x:c>
      <x:c r="G4" s="13" t="str">
        <x:v>Ore condus</x:v>
      </x:c>
      <x:c r="H4" s="13" t="str">
        <x:v>L total m</x:v>
      </x:c>
      <x:c r="I4" s="13" t="str">
        <x:v>l total m</x:v>
      </x:c>
      <x:c r="J4" s="13" t="str">
        <x:v>H total m</x:v>
      </x:c>
      <x:c r="K4" s="13" t="str">
        <x:v>Masă totală t</x:v>
      </x:c>
      <x:c r="L4" s="13" t="str">
        <x:v>Axe</x:v>
      </x:c>
      <x:c r="M4" s="13" t="str">
        <x:v>Max t/axă</x:v>
      </x:c>
      <x:c r="N4" s="13" t="str">
        <x:v>Data calculului</x:v>
      </x:c>
      <x:c r="O4" s="13" t="str">
        <x:v>Tip profil</x:v>
      </x:c>
      <x:c r="P4" s="13" t="str">
        <x:v>Note / coordonate</x:v>
      </x:c>
      <x:c r="Q4" s="13" t="str">
        <x:v>Cantitate totală produs</x:v>
      </x:c>
    </x:row>
    <x:row r="5" ht="23" customHeight="1">
      <x:c r="A5" s="2"/>
      <x:c r="B5" s="2"/>
      <x:c r="C5" s="2"/>
      <x:c r="D5" s="2"/>
      <x:c r="E5" s="2"/>
      <x:c r="F5" s="14"/>
      <x:c r="G5" s="14"/>
      <x:c r="H5" s="14"/>
      <x:c r="I5" s="14"/>
      <x:c r="J5" s="14"/>
      <x:c r="K5" s="14"/>
      <x:c r="L5" s="14"/>
      <x:c r="M5" s="14"/>
      <x:c r="N5" s="2"/>
      <x:c r="O5" s="2"/>
      <x:c r="P5" s="2"/>
      <x:c r="Q5" s="2"/>
    </x:row>
    <x:row r="6" ht="23" customHeight="1">
      <x:c r="A6" s="2"/>
      <x:c r="B6" s="2"/>
      <x:c r="C6" s="2"/>
      <x:c r="D6" s="2"/>
      <x:c r="E6" s="2"/>
      <x:c r="F6" s="14"/>
      <x:c r="G6" s="14"/>
      <x:c r="H6" s="14"/>
      <x:c r="I6" s="14"/>
      <x:c r="J6" s="14"/>
      <x:c r="K6" s="14"/>
      <x:c r="L6" s="14"/>
      <x:c r="M6" s="14"/>
      <x:c r="N6" s="2"/>
      <x:c r="O6" s="2"/>
      <x:c r="P6" s="2"/>
      <x:c r="Q6" s="2"/>
    </x:row>
    <x:row r="7" ht="23" customHeight="1">
      <x:c r="A7" s="2"/>
      <x:c r="B7" s="2"/>
      <x:c r="C7" s="2"/>
      <x:c r="D7" s="2"/>
      <x:c r="E7" s="2"/>
      <x:c r="F7" s="14"/>
      <x:c r="G7" s="14"/>
      <x:c r="H7" s="14"/>
      <x:c r="I7" s="14"/>
      <x:c r="J7" s="14"/>
      <x:c r="K7" s="14"/>
      <x:c r="L7" s="14"/>
      <x:c r="M7" s="14"/>
      <x:c r="N7" s="2"/>
      <x:c r="O7" s="2"/>
      <x:c r="P7" s="2"/>
      <x:c r="Q7" s="2"/>
    </x:row>
    <x:row r="8" ht="23" customHeight="1">
      <x:c r="A8" s="2"/>
      <x:c r="B8" s="2"/>
      <x:c r="C8" s="2"/>
      <x:c r="D8" s="2"/>
      <x:c r="E8" s="2"/>
      <x:c r="F8" s="14"/>
      <x:c r="G8" s="14"/>
      <x:c r="H8" s="14"/>
      <x:c r="I8" s="14"/>
      <x:c r="J8" s="14"/>
      <x:c r="K8" s="14"/>
      <x:c r="L8" s="14"/>
      <x:c r="M8" s="14"/>
      <x:c r="N8" s="2"/>
      <x:c r="O8" s="2"/>
      <x:c r="P8" s="2"/>
      <x:c r="Q8" s="2"/>
    </x:row>
    <x:row r="9" ht="23" customHeight="1">
      <x:c r="A9" s="2"/>
      <x:c r="B9" s="2"/>
      <x:c r="C9" s="2"/>
      <x:c r="D9" s="2"/>
      <x:c r="E9" s="2"/>
      <x:c r="F9" s="14"/>
      <x:c r="G9" s="14"/>
      <x:c r="H9" s="14"/>
      <x:c r="I9" s="14"/>
      <x:c r="J9" s="14"/>
      <x:c r="K9" s="14"/>
      <x:c r="L9" s="14"/>
      <x:c r="M9" s="14"/>
      <x:c r="N9" s="2"/>
      <x:c r="O9" s="2"/>
      <x:c r="P9" s="2"/>
      <x:c r="Q9" s="2"/>
    </x:row>
    <x:row r="10" ht="23" customHeight="1">
      <x:c r="A10" s="2"/>
      <x:c r="B10" s="2"/>
      <x:c r="C10" s="2"/>
      <x:c r="D10" s="2"/>
      <x:c r="E10" s="2"/>
      <x:c r="F10" s="14"/>
      <x:c r="G10" s="14"/>
      <x:c r="H10" s="14"/>
      <x:c r="I10" s="14"/>
      <x:c r="J10" s="14"/>
      <x:c r="K10" s="14"/>
      <x:c r="L10" s="14"/>
      <x:c r="M10" s="14"/>
      <x:c r="N10" s="2"/>
      <x:c r="O10" s="2"/>
      <x:c r="P10" s="2"/>
      <x:c r="Q10" s="2"/>
    </x:row>
    <x:row r="11" ht="23" customHeight="1">
      <x:c r="A11" s="2"/>
      <x:c r="B11" s="2"/>
      <x:c r="C11" s="2"/>
      <x:c r="D11" s="2"/>
      <x:c r="E11" s="2"/>
      <x:c r="F11" s="14"/>
      <x:c r="G11" s="14"/>
      <x:c r="H11" s="14"/>
      <x:c r="I11" s="14"/>
      <x:c r="J11" s="14"/>
      <x:c r="K11" s="14"/>
      <x:c r="L11" s="14"/>
      <x:c r="M11" s="14"/>
      <x:c r="N11" s="2"/>
      <x:c r="O11" s="2"/>
      <x:c r="P11" s="2"/>
      <x:c r="Q11" s="2"/>
    </x:row>
    <x:row r="12" ht="23" customHeight="1">
      <x:c r="A12" s="2"/>
      <x:c r="B12" s="2"/>
      <x:c r="C12" s="2"/>
      <x:c r="D12" s="2"/>
      <x:c r="E12" s="2"/>
      <x:c r="F12" s="14"/>
      <x:c r="G12" s="14"/>
      <x:c r="H12" s="14"/>
      <x:c r="I12" s="14"/>
      <x:c r="J12" s="14"/>
      <x:c r="K12" s="14"/>
      <x:c r="L12" s="14"/>
      <x:c r="M12" s="14"/>
      <x:c r="N12" s="2"/>
      <x:c r="O12" s="2"/>
      <x:c r="P12" s="2"/>
      <x:c r="Q12" s="2"/>
    </x:row>
    <x:row r="13" ht="23" customHeight="1">
      <x:c r="A13" s="2"/>
      <x:c r="B13" s="2"/>
      <x:c r="C13" s="2"/>
      <x:c r="D13" s="2"/>
      <x:c r="E13" s="2"/>
      <x:c r="F13" s="14"/>
      <x:c r="G13" s="14"/>
      <x:c r="H13" s="14"/>
      <x:c r="I13" s="14"/>
      <x:c r="J13" s="14"/>
      <x:c r="K13" s="14"/>
      <x:c r="L13" s="14"/>
      <x:c r="M13" s="14"/>
      <x:c r="N13" s="2"/>
      <x:c r="O13" s="2"/>
      <x:c r="P13" s="2"/>
      <x:c r="Q13" s="2"/>
    </x:row>
    <x:row r="14" ht="23" customHeight="1">
      <x:c r="A14" s="2"/>
      <x:c r="B14" s="2"/>
      <x:c r="C14" s="2"/>
      <x:c r="D14" s="2"/>
      <x:c r="E14" s="2"/>
      <x:c r="F14" s="14"/>
      <x:c r="G14" s="14"/>
      <x:c r="H14" s="14"/>
      <x:c r="I14" s="14"/>
      <x:c r="J14" s="14"/>
      <x:c r="K14" s="14"/>
      <x:c r="L14" s="14"/>
      <x:c r="M14" s="14"/>
      <x:c r="N14" s="2"/>
      <x:c r="O14" s="2"/>
      <x:c r="P14" s="2"/>
      <x:c r="Q14" s="2"/>
    </x:row>
    <x:row r="15" ht="23" customHeight="1">
      <x:c r="A15" s="2"/>
      <x:c r="B15" s="2"/>
      <x:c r="C15" s="2"/>
      <x:c r="D15" s="2"/>
      <x:c r="E15" s="2"/>
      <x:c r="F15" s="14"/>
      <x:c r="G15" s="14"/>
      <x:c r="H15" s="14"/>
      <x:c r="I15" s="14"/>
      <x:c r="J15" s="14"/>
      <x:c r="K15" s="14"/>
      <x:c r="L15" s="14"/>
      <x:c r="M15" s="14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14"/>
      <x:c r="G16" s="14"/>
      <x:c r="H16" s="14"/>
      <x:c r="I16" s="14"/>
      <x:c r="J16" s="14"/>
      <x:c r="K16" s="14"/>
      <x:c r="L16" s="14"/>
      <x:c r="M16" s="14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14"/>
      <x:c r="G17" s="14"/>
      <x:c r="H17" s="14"/>
      <x:c r="I17" s="14"/>
      <x:c r="J17" s="14"/>
      <x:c r="K17" s="14"/>
      <x:c r="L17" s="14"/>
      <x:c r="M17" s="14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14"/>
      <x:c r="G18" s="14"/>
      <x:c r="H18" s="14"/>
      <x:c r="I18" s="14"/>
      <x:c r="J18" s="14"/>
      <x:c r="K18" s="14"/>
      <x:c r="L18" s="14"/>
      <x:c r="M18" s="14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14"/>
      <x:c r="G19" s="14"/>
      <x:c r="H19" s="14"/>
      <x:c r="I19" s="14"/>
      <x:c r="J19" s="14"/>
      <x:c r="K19" s="14"/>
      <x:c r="L19" s="14"/>
      <x:c r="M19" s="14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14"/>
      <x:c r="G20" s="14"/>
      <x:c r="H20" s="14"/>
      <x:c r="I20" s="14"/>
      <x:c r="J20" s="14"/>
      <x:c r="K20" s="14"/>
      <x:c r="L20" s="14"/>
      <x:c r="M20" s="14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14"/>
      <x:c r="G21" s="14"/>
      <x:c r="H21" s="14"/>
      <x:c r="I21" s="14"/>
      <x:c r="J21" s="14"/>
      <x:c r="K21" s="14"/>
      <x:c r="L21" s="14"/>
      <x:c r="M21" s="14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14"/>
      <x:c r="G22" s="14"/>
      <x:c r="H22" s="14"/>
      <x:c r="I22" s="14"/>
      <x:c r="J22" s="14"/>
      <x:c r="K22" s="14"/>
      <x:c r="L22" s="14"/>
      <x:c r="M22" s="14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14"/>
      <x:c r="G23" s="14"/>
      <x:c r="H23" s="14"/>
      <x:c r="I23" s="14"/>
      <x:c r="J23" s="14"/>
      <x:c r="K23" s="14"/>
      <x:c r="L23" s="14"/>
      <x:c r="M23" s="14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14"/>
      <x:c r="G24" s="14"/>
      <x:c r="H24" s="14"/>
      <x:c r="I24" s="14"/>
      <x:c r="J24" s="14"/>
      <x:c r="K24" s="14"/>
      <x:c r="L24" s="14"/>
      <x:c r="M24" s="14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14"/>
      <x:c r="G25" s="14"/>
      <x:c r="H25" s="14"/>
      <x:c r="I25" s="14"/>
      <x:c r="J25" s="14"/>
      <x:c r="K25" s="14"/>
      <x:c r="L25" s="14"/>
      <x:c r="M25" s="14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14"/>
      <x:c r="G26" s="14"/>
      <x:c r="H26" s="14"/>
      <x:c r="I26" s="14"/>
      <x:c r="J26" s="14"/>
      <x:c r="K26" s="14"/>
      <x:c r="L26" s="14"/>
      <x:c r="M26" s="14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14"/>
      <x:c r="G27" s="14"/>
      <x:c r="H27" s="14"/>
      <x:c r="I27" s="14"/>
      <x:c r="J27" s="14"/>
      <x:c r="K27" s="14"/>
      <x:c r="L27" s="14"/>
      <x:c r="M27" s="14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14"/>
      <x:c r="G28" s="14"/>
      <x:c r="H28" s="14"/>
      <x:c r="I28" s="14"/>
      <x:c r="J28" s="14"/>
      <x:c r="K28" s="14"/>
      <x:c r="L28" s="14"/>
      <x:c r="M28" s="14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14"/>
      <x:c r="G29" s="14"/>
      <x:c r="H29" s="14"/>
      <x:c r="I29" s="14"/>
      <x:c r="J29" s="14"/>
      <x:c r="K29" s="14"/>
      <x:c r="L29" s="14"/>
      <x:c r="M29" s="14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14"/>
      <x:c r="G30" s="14"/>
      <x:c r="H30" s="14"/>
      <x:c r="I30" s="14"/>
      <x:c r="J30" s="14"/>
      <x:c r="K30" s="14"/>
      <x:c r="L30" s="14"/>
      <x:c r="M30" s="14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14"/>
      <x:c r="G31" s="14"/>
      <x:c r="H31" s="14"/>
      <x:c r="I31" s="14"/>
      <x:c r="J31" s="14"/>
      <x:c r="K31" s="14"/>
      <x:c r="L31" s="14"/>
      <x:c r="M31" s="14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14"/>
      <x:c r="G32" s="14"/>
      <x:c r="H32" s="14"/>
      <x:c r="I32" s="14"/>
      <x:c r="J32" s="14"/>
      <x:c r="K32" s="14"/>
      <x:c r="L32" s="14"/>
      <x:c r="M32" s="14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14"/>
      <x:c r="G33" s="14"/>
      <x:c r="H33" s="14"/>
      <x:c r="I33" s="14"/>
      <x:c r="J33" s="14"/>
      <x:c r="K33" s="14"/>
      <x:c r="L33" s="14"/>
      <x:c r="M33" s="14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14"/>
      <x:c r="G34" s="14"/>
      <x:c r="H34" s="14"/>
      <x:c r="I34" s="14"/>
      <x:c r="J34" s="14"/>
      <x:c r="K34" s="14"/>
      <x:c r="L34" s="14"/>
      <x:c r="M34" s="14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14"/>
      <x:c r="G35" s="14"/>
      <x:c r="H35" s="14"/>
      <x:c r="I35" s="14"/>
      <x:c r="J35" s="14"/>
      <x:c r="K35" s="14"/>
      <x:c r="L35" s="14"/>
      <x:c r="M35" s="14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14"/>
      <x:c r="G36" s="14"/>
      <x:c r="H36" s="14"/>
      <x:c r="I36" s="14"/>
      <x:c r="J36" s="14"/>
      <x:c r="K36" s="14"/>
      <x:c r="L36" s="14"/>
      <x:c r="M36" s="14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14"/>
      <x:c r="G37" s="14"/>
      <x:c r="H37" s="14"/>
      <x:c r="I37" s="14"/>
      <x:c r="J37" s="14"/>
      <x:c r="K37" s="14"/>
      <x:c r="L37" s="14"/>
      <x:c r="M37" s="14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14"/>
      <x:c r="G38" s="14"/>
      <x:c r="H38" s="14"/>
      <x:c r="I38" s="14"/>
      <x:c r="J38" s="14"/>
      <x:c r="K38" s="14"/>
      <x:c r="L38" s="14"/>
      <x:c r="M38" s="14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14"/>
      <x:c r="G39" s="14"/>
      <x:c r="H39" s="14"/>
      <x:c r="I39" s="14"/>
      <x:c r="J39" s="14"/>
      <x:c r="K39" s="14"/>
      <x:c r="L39" s="14"/>
      <x:c r="M39" s="14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14"/>
      <x:c r="G40" s="14"/>
      <x:c r="H40" s="14"/>
      <x:c r="I40" s="14"/>
      <x:c r="J40" s="14"/>
      <x:c r="K40" s="14"/>
      <x:c r="L40" s="14"/>
      <x:c r="M40" s="14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14"/>
      <x:c r="G41" s="14"/>
      <x:c r="H41" s="14"/>
      <x:c r="I41" s="14"/>
      <x:c r="J41" s="14"/>
      <x:c r="K41" s="14"/>
      <x:c r="L41" s="14"/>
      <x:c r="M41" s="14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14"/>
      <x:c r="G42" s="14"/>
      <x:c r="H42" s="14"/>
      <x:c r="I42" s="14"/>
      <x:c r="J42" s="14"/>
      <x:c r="K42" s="14"/>
      <x:c r="L42" s="14"/>
      <x:c r="M42" s="14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14"/>
      <x:c r="G43" s="14"/>
      <x:c r="H43" s="14"/>
      <x:c r="I43" s="14"/>
      <x:c r="J43" s="14"/>
      <x:c r="K43" s="14"/>
      <x:c r="L43" s="14"/>
      <x:c r="M43" s="14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14"/>
      <x:c r="G44" s="14"/>
      <x:c r="H44" s="14"/>
      <x:c r="I44" s="14"/>
      <x:c r="J44" s="14"/>
      <x:c r="K44" s="14"/>
      <x:c r="L44" s="14"/>
      <x:c r="M44" s="14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14"/>
      <x:c r="G45" s="14"/>
      <x:c r="H45" s="14"/>
      <x:c r="I45" s="14"/>
      <x:c r="J45" s="14"/>
      <x:c r="K45" s="14"/>
      <x:c r="L45" s="14"/>
      <x:c r="M45" s="14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14"/>
      <x:c r="G46" s="14"/>
      <x:c r="H46" s="14"/>
      <x:c r="I46" s="14"/>
      <x:c r="J46" s="14"/>
      <x:c r="K46" s="14"/>
      <x:c r="L46" s="14"/>
      <x:c r="M46" s="14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14"/>
      <x:c r="G47" s="14"/>
      <x:c r="H47" s="14"/>
      <x:c r="I47" s="14"/>
      <x:c r="J47" s="14"/>
      <x:c r="K47" s="14"/>
      <x:c r="L47" s="14"/>
      <x:c r="M47" s="14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14"/>
      <x:c r="G48" s="14"/>
      <x:c r="H48" s="14"/>
      <x:c r="I48" s="14"/>
      <x:c r="J48" s="14"/>
      <x:c r="K48" s="14"/>
      <x:c r="L48" s="14"/>
      <x:c r="M48" s="14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14"/>
      <x:c r="G49" s="14"/>
      <x:c r="H49" s="14"/>
      <x:c r="I49" s="14"/>
      <x:c r="J49" s="14"/>
      <x:c r="K49" s="14"/>
      <x:c r="L49" s="14"/>
      <x:c r="M49" s="14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14"/>
      <x:c r="G50" s="14"/>
      <x:c r="H50" s="14"/>
      <x:c r="I50" s="14"/>
      <x:c r="J50" s="14"/>
      <x:c r="K50" s="14"/>
      <x:c r="L50" s="14"/>
      <x:c r="M50" s="14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14"/>
      <x:c r="G51" s="14"/>
      <x:c r="H51" s="14"/>
      <x:c r="I51" s="14"/>
      <x:c r="J51" s="14"/>
      <x:c r="K51" s="14"/>
      <x:c r="L51" s="14"/>
      <x:c r="M51" s="14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14"/>
      <x:c r="G52" s="14"/>
      <x:c r="H52" s="14"/>
      <x:c r="I52" s="14"/>
      <x:c r="J52" s="14"/>
      <x:c r="K52" s="14"/>
      <x:c r="L52" s="14"/>
      <x:c r="M52" s="14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14"/>
      <x:c r="G53" s="14"/>
      <x:c r="H53" s="14"/>
      <x:c r="I53" s="14"/>
      <x:c r="J53" s="14"/>
      <x:c r="K53" s="14"/>
      <x:c r="L53" s="14"/>
      <x:c r="M53" s="14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14"/>
      <x:c r="G54" s="14"/>
      <x:c r="H54" s="14"/>
      <x:c r="I54" s="14"/>
      <x:c r="J54" s="14"/>
      <x:c r="K54" s="14"/>
      <x:c r="L54" s="14"/>
      <x:c r="M54" s="14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14"/>
      <x:c r="G55" s="14"/>
      <x:c r="H55" s="14"/>
      <x:c r="I55" s="14"/>
      <x:c r="J55" s="14"/>
      <x:c r="K55" s="14"/>
      <x:c r="L55" s="14"/>
      <x:c r="M55" s="14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14"/>
      <x:c r="G56" s="14"/>
      <x:c r="H56" s="14"/>
      <x:c r="I56" s="14"/>
      <x:c r="J56" s="14"/>
      <x:c r="K56" s="14"/>
      <x:c r="L56" s="14"/>
      <x:c r="M56" s="14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14"/>
      <x:c r="G57" s="14"/>
      <x:c r="H57" s="14"/>
      <x:c r="I57" s="14"/>
      <x:c r="J57" s="14"/>
      <x:c r="K57" s="14"/>
      <x:c r="L57" s="14"/>
      <x:c r="M57" s="14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14"/>
      <x:c r="G58" s="14"/>
      <x:c r="H58" s="14"/>
      <x:c r="I58" s="14"/>
      <x:c r="J58" s="14"/>
      <x:c r="K58" s="14"/>
      <x:c r="L58" s="14"/>
      <x:c r="M58" s="14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14"/>
      <x:c r="G59" s="14"/>
      <x:c r="H59" s="14"/>
      <x:c r="I59" s="14"/>
      <x:c r="J59" s="14"/>
      <x:c r="K59" s="14"/>
      <x:c r="L59" s="14"/>
      <x:c r="M59" s="14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14"/>
      <x:c r="G60" s="14"/>
      <x:c r="H60" s="14"/>
      <x:c r="I60" s="14"/>
      <x:c r="J60" s="14"/>
      <x:c r="K60" s="14"/>
      <x:c r="L60" s="14"/>
      <x:c r="M60" s="14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14"/>
      <x:c r="G61" s="14"/>
      <x:c r="H61" s="14"/>
      <x:c r="I61" s="14"/>
      <x:c r="J61" s="14"/>
      <x:c r="K61" s="14"/>
      <x:c r="L61" s="14"/>
      <x:c r="M61" s="14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14"/>
      <x:c r="G62" s="14"/>
      <x:c r="H62" s="14"/>
      <x:c r="I62" s="14"/>
      <x:c r="J62" s="14"/>
      <x:c r="K62" s="14"/>
      <x:c r="L62" s="14"/>
      <x:c r="M62" s="14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14"/>
      <x:c r="G63" s="14"/>
      <x:c r="H63" s="14"/>
      <x:c r="I63" s="14"/>
      <x:c r="J63" s="14"/>
      <x:c r="K63" s="14"/>
      <x:c r="L63" s="14"/>
      <x:c r="M63" s="14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14"/>
      <x:c r="G64" s="14"/>
      <x:c r="H64" s="14"/>
      <x:c r="I64" s="14"/>
      <x:c r="J64" s="14"/>
      <x:c r="K64" s="14"/>
      <x:c r="L64" s="14"/>
      <x:c r="M64" s="14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14"/>
      <x:c r="G65" s="14"/>
      <x:c r="H65" s="14"/>
      <x:c r="I65" s="14"/>
      <x:c r="J65" s="14"/>
      <x:c r="K65" s="14"/>
      <x:c r="L65" s="14"/>
      <x:c r="M65" s="14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14"/>
      <x:c r="G66" s="14"/>
      <x:c r="H66" s="14"/>
      <x:c r="I66" s="14"/>
      <x:c r="J66" s="14"/>
      <x:c r="K66" s="14"/>
      <x:c r="L66" s="14"/>
      <x:c r="M66" s="14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14"/>
      <x:c r="G67" s="14"/>
      <x:c r="H67" s="14"/>
      <x:c r="I67" s="14"/>
      <x:c r="J67" s="14"/>
      <x:c r="K67" s="14"/>
      <x:c r="L67" s="14"/>
      <x:c r="M67" s="14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14"/>
      <x:c r="G68" s="14"/>
      <x:c r="H68" s="14"/>
      <x:c r="I68" s="14"/>
      <x:c r="J68" s="14"/>
      <x:c r="K68" s="14"/>
      <x:c r="L68" s="14"/>
      <x:c r="M68" s="14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14"/>
      <x:c r="G69" s="14"/>
      <x:c r="H69" s="14"/>
      <x:c r="I69" s="14"/>
      <x:c r="J69" s="14"/>
      <x:c r="K69" s="14"/>
      <x:c r="L69" s="14"/>
      <x:c r="M69" s="14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14"/>
      <x:c r="G70" s="14"/>
      <x:c r="H70" s="14"/>
      <x:c r="I70" s="14"/>
      <x:c r="J70" s="14"/>
      <x:c r="K70" s="14"/>
      <x:c r="L70" s="14"/>
      <x:c r="M70" s="14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14"/>
      <x:c r="G71" s="14"/>
      <x:c r="H71" s="14"/>
      <x:c r="I71" s="14"/>
      <x:c r="J71" s="14"/>
      <x:c r="K71" s="14"/>
      <x:c r="L71" s="14"/>
      <x:c r="M71" s="14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14"/>
      <x:c r="G72" s="14"/>
      <x:c r="H72" s="14"/>
      <x:c r="I72" s="14"/>
      <x:c r="J72" s="14"/>
      <x:c r="K72" s="14"/>
      <x:c r="L72" s="14"/>
      <x:c r="M72" s="14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14"/>
      <x:c r="G73" s="14"/>
      <x:c r="H73" s="14"/>
      <x:c r="I73" s="14"/>
      <x:c r="J73" s="14"/>
      <x:c r="K73" s="14"/>
      <x:c r="L73" s="14"/>
      <x:c r="M73" s="14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14"/>
      <x:c r="G74" s="14"/>
      <x:c r="H74" s="14"/>
      <x:c r="I74" s="14"/>
      <x:c r="J74" s="14"/>
      <x:c r="K74" s="14"/>
      <x:c r="L74" s="14"/>
      <x:c r="M74" s="14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14"/>
      <x:c r="G75" s="14"/>
      <x:c r="H75" s="14"/>
      <x:c r="I75" s="14"/>
      <x:c r="J75" s="14"/>
      <x:c r="K75" s="14"/>
      <x:c r="L75" s="14"/>
      <x:c r="M75" s="14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14"/>
      <x:c r="G76" s="14"/>
      <x:c r="H76" s="14"/>
      <x:c r="I76" s="14"/>
      <x:c r="J76" s="14"/>
      <x:c r="K76" s="14"/>
      <x:c r="L76" s="14"/>
      <x:c r="M76" s="14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14"/>
      <x:c r="G77" s="14"/>
      <x:c r="H77" s="14"/>
      <x:c r="I77" s="14"/>
      <x:c r="J77" s="14"/>
      <x:c r="K77" s="14"/>
      <x:c r="L77" s="14"/>
      <x:c r="M77" s="14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14"/>
      <x:c r="G78" s="14"/>
      <x:c r="H78" s="14"/>
      <x:c r="I78" s="14"/>
      <x:c r="J78" s="14"/>
      <x:c r="K78" s="14"/>
      <x:c r="L78" s="14"/>
      <x:c r="M78" s="14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14"/>
      <x:c r="G79" s="14"/>
      <x:c r="H79" s="14"/>
      <x:c r="I79" s="14"/>
      <x:c r="J79" s="14"/>
      <x:c r="K79" s="14"/>
      <x:c r="L79" s="14"/>
      <x:c r="M79" s="14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14"/>
      <x:c r="G80" s="14"/>
      <x:c r="H80" s="14"/>
      <x:c r="I80" s="14"/>
      <x:c r="J80" s="14"/>
      <x:c r="K80" s="14"/>
      <x:c r="L80" s="14"/>
      <x:c r="M80" s="14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14"/>
      <x:c r="G81" s="14"/>
      <x:c r="H81" s="14"/>
      <x:c r="I81" s="14"/>
      <x:c r="J81" s="14"/>
      <x:c r="K81" s="14"/>
      <x:c r="L81" s="14"/>
      <x:c r="M81" s="14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14"/>
      <x:c r="G82" s="14"/>
      <x:c r="H82" s="14"/>
      <x:c r="I82" s="14"/>
      <x:c r="J82" s="14"/>
      <x:c r="K82" s="14"/>
      <x:c r="L82" s="14"/>
      <x:c r="M82" s="14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14"/>
      <x:c r="G83" s="14"/>
      <x:c r="H83" s="14"/>
      <x:c r="I83" s="14"/>
      <x:c r="J83" s="14"/>
      <x:c r="K83" s="14"/>
      <x:c r="L83" s="14"/>
      <x:c r="M83" s="14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14"/>
      <x:c r="G84" s="14"/>
      <x:c r="H84" s="14"/>
      <x:c r="I84" s="14"/>
      <x:c r="J84" s="14"/>
      <x:c r="K84" s="14"/>
      <x:c r="L84" s="14"/>
      <x:c r="M84" s="14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14"/>
      <x:c r="G85" s="14"/>
      <x:c r="H85" s="14"/>
      <x:c r="I85" s="14"/>
      <x:c r="J85" s="14"/>
      <x:c r="K85" s="14"/>
      <x:c r="L85" s="14"/>
      <x:c r="M85" s="14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14"/>
      <x:c r="G86" s="14"/>
      <x:c r="H86" s="14"/>
      <x:c r="I86" s="14"/>
      <x:c r="J86" s="14"/>
      <x:c r="K86" s="14"/>
      <x:c r="L86" s="14"/>
      <x:c r="M86" s="14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14"/>
      <x:c r="G87" s="14"/>
      <x:c r="H87" s="14"/>
      <x:c r="I87" s="14"/>
      <x:c r="J87" s="14"/>
      <x:c r="K87" s="14"/>
      <x:c r="L87" s="14"/>
      <x:c r="M87" s="14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14"/>
      <x:c r="G88" s="14"/>
      <x:c r="H88" s="14"/>
      <x:c r="I88" s="14"/>
      <x:c r="J88" s="14"/>
      <x:c r="K88" s="14"/>
      <x:c r="L88" s="14"/>
      <x:c r="M88" s="14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14"/>
      <x:c r="G89" s="14"/>
      <x:c r="H89" s="14"/>
      <x:c r="I89" s="14"/>
      <x:c r="J89" s="14"/>
      <x:c r="K89" s="14"/>
      <x:c r="L89" s="14"/>
      <x:c r="M89" s="14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14"/>
      <x:c r="G90" s="14"/>
      <x:c r="H90" s="14"/>
      <x:c r="I90" s="14"/>
      <x:c r="J90" s="14"/>
      <x:c r="K90" s="14"/>
      <x:c r="L90" s="14"/>
      <x:c r="M90" s="14"/>
      <x:c r="N90" s="2"/>
      <x:c r="O90" s="2"/>
      <x:c r="P90" s="2"/>
      <x:c r="Q90" s="2"/>
    </x:row>
    <x:row r="91" ht="23" customHeight="1">
      <x:c r="A91" s="2"/>
      <x:c r="B91" s="2"/>
      <x:c r="C91" s="2"/>
      <x:c r="D91" s="2"/>
      <x:c r="E91" s="2"/>
      <x:c r="F91" s="14"/>
      <x:c r="G91" s="14"/>
      <x:c r="H91" s="14"/>
      <x:c r="I91" s="14"/>
      <x:c r="J91" s="14"/>
      <x:c r="K91" s="14"/>
      <x:c r="L91" s="14"/>
      <x:c r="M91" s="14"/>
      <x:c r="N91" s="2"/>
      <x:c r="O91" s="2"/>
      <x:c r="P91" s="2"/>
      <x:c r="Q91" s="2"/>
    </x:row>
    <x:row r="92" ht="23" customHeight="1">
      <x:c r="A92" s="2"/>
      <x:c r="B92" s="2"/>
      <x:c r="C92" s="2"/>
      <x:c r="D92" s="2"/>
      <x:c r="E92" s="2"/>
      <x:c r="F92" s="14"/>
      <x:c r="G92" s="14"/>
      <x:c r="H92" s="14"/>
      <x:c r="I92" s="14"/>
      <x:c r="J92" s="14"/>
      <x:c r="K92" s="14"/>
      <x:c r="L92" s="14"/>
      <x:c r="M92" s="14"/>
      <x:c r="N92" s="2"/>
      <x:c r="O92" s="2"/>
      <x:c r="P92" s="2"/>
      <x:c r="Q92" s="2"/>
    </x:row>
    <x:row r="93" ht="23" customHeight="1">
      <x:c r="A93" s="2"/>
      <x:c r="B93" s="2"/>
      <x:c r="C93" s="2"/>
      <x:c r="D93" s="2"/>
      <x:c r="E93" s="2"/>
      <x:c r="F93" s="14"/>
      <x:c r="G93" s="14"/>
      <x:c r="H93" s="14"/>
      <x:c r="I93" s="14"/>
      <x:c r="J93" s="14"/>
      <x:c r="K93" s="14"/>
      <x:c r="L93" s="14"/>
      <x:c r="M93" s="14"/>
      <x:c r="N93" s="2"/>
      <x:c r="O93" s="2"/>
      <x:c r="P93" s="2"/>
      <x:c r="Q93" s="2"/>
    </x:row>
    <x:row r="94" ht="23" customHeight="1">
      <x:c r="A94" s="2"/>
      <x:c r="B94" s="2"/>
      <x:c r="C94" s="2"/>
      <x:c r="D94" s="2"/>
      <x:c r="E94" s="2"/>
      <x:c r="F94" s="14"/>
      <x:c r="G94" s="14"/>
      <x:c r="H94" s="14"/>
      <x:c r="I94" s="14"/>
      <x:c r="J94" s="14"/>
      <x:c r="K94" s="14"/>
      <x:c r="L94" s="14"/>
      <x:c r="M94" s="14"/>
      <x:c r="N94" s="2"/>
      <x:c r="O94" s="2"/>
      <x:c r="P94" s="2"/>
      <x:c r="Q94" s="2"/>
    </x:row>
    <x:row r="95" ht="23" customHeight="1">
      <x:c r="A95" s="2"/>
      <x:c r="B95" s="2"/>
      <x:c r="C95" s="2"/>
      <x:c r="D95" s="2"/>
      <x:c r="E95" s="2"/>
      <x:c r="F95" s="14"/>
      <x:c r="G95" s="14"/>
      <x:c r="H95" s="14"/>
      <x:c r="I95" s="14"/>
      <x:c r="J95" s="14"/>
      <x:c r="K95" s="14"/>
      <x:c r="L95" s="14"/>
      <x:c r="M95" s="14"/>
      <x:c r="N95" s="2"/>
      <x:c r="O95" s="2"/>
      <x:c r="P95" s="2"/>
      <x:c r="Q95" s="2"/>
    </x:row>
    <x:row r="96" ht="23" customHeight="1">
      <x:c r="A96" s="2"/>
      <x:c r="B96" s="2"/>
      <x:c r="C96" s="2"/>
      <x:c r="D96" s="2"/>
      <x:c r="E96" s="2"/>
      <x:c r="F96" s="14"/>
      <x:c r="G96" s="14"/>
      <x:c r="H96" s="14"/>
      <x:c r="I96" s="14"/>
      <x:c r="J96" s="14"/>
      <x:c r="K96" s="14"/>
      <x:c r="L96" s="14"/>
      <x:c r="M96" s="14"/>
      <x:c r="N96" s="2"/>
      <x:c r="O96" s="2"/>
      <x:c r="P96" s="2"/>
      <x:c r="Q96" s="2"/>
    </x:row>
    <x:row r="97" ht="23" customHeight="1">
      <x:c r="A97" s="2"/>
      <x:c r="B97" s="2"/>
      <x:c r="C97" s="2"/>
      <x:c r="D97" s="2"/>
      <x:c r="E97" s="2"/>
      <x:c r="F97" s="14"/>
      <x:c r="G97" s="14"/>
      <x:c r="H97" s="14"/>
      <x:c r="I97" s="14"/>
      <x:c r="J97" s="14"/>
      <x:c r="K97" s="14"/>
      <x:c r="L97" s="14"/>
      <x:c r="M97" s="14"/>
      <x:c r="N97" s="2"/>
      <x:c r="O97" s="2"/>
      <x:c r="P97" s="2"/>
      <x:c r="Q97" s="2"/>
    </x:row>
    <x:row r="98" ht="23" customHeight="1">
      <x:c r="A98" s="2"/>
      <x:c r="B98" s="2"/>
      <x:c r="C98" s="2"/>
      <x:c r="D98" s="2"/>
      <x:c r="E98" s="2"/>
      <x:c r="F98" s="14"/>
      <x:c r="G98" s="14"/>
      <x:c r="H98" s="14"/>
      <x:c r="I98" s="14"/>
      <x:c r="J98" s="14"/>
      <x:c r="K98" s="14"/>
      <x:c r="L98" s="14"/>
      <x:c r="M98" s="14"/>
      <x:c r="N98" s="2"/>
      <x:c r="O98" s="2"/>
      <x:c r="P98" s="2"/>
      <x:c r="Q98" s="2"/>
    </x:row>
    <x:row r="99" ht="23" customHeight="1">
      <x:c r="A99" s="2"/>
      <x:c r="B99" s="2"/>
      <x:c r="C99" s="2"/>
      <x:c r="D99" s="2"/>
      <x:c r="E99" s="2"/>
      <x:c r="F99" s="14"/>
      <x:c r="G99" s="14"/>
      <x:c r="H99" s="14"/>
      <x:c r="I99" s="14"/>
      <x:c r="J99" s="14"/>
      <x:c r="K99" s="14"/>
      <x:c r="L99" s="14"/>
      <x:c r="M99" s="14"/>
      <x:c r="N99" s="2"/>
      <x:c r="O99" s="2"/>
      <x:c r="P99" s="2"/>
      <x:c r="Q99" s="2"/>
    </x:row>
    <x:row r="100" ht="23" customHeight="1">
      <x:c r="A100" s="2"/>
      <x:c r="B100" s="2"/>
      <x:c r="C100" s="2"/>
      <x:c r="D100" s="2"/>
      <x:c r="E100" s="2"/>
      <x:c r="F100" s="14"/>
      <x:c r="G100" s="14"/>
      <x:c r="H100" s="14"/>
      <x:c r="I100" s="14"/>
      <x:c r="J100" s="14"/>
      <x:c r="K100" s="14"/>
      <x:c r="L100" s="14"/>
      <x:c r="M100" s="14"/>
      <x:c r="N100" s="2"/>
      <x:c r="O100" s="2"/>
      <x:c r="P100" s="2"/>
      <x:c r="Q100" s="2"/>
    </x:row>
    <x:row r="101" ht="23" customHeight="1">
      <x:c r="A101" s="2"/>
      <x:c r="B101" s="2"/>
      <x:c r="C101" s="2"/>
      <x:c r="D101" s="2"/>
      <x:c r="E101" s="2"/>
      <x:c r="F101" s="14"/>
      <x:c r="G101" s="14"/>
      <x:c r="H101" s="14"/>
      <x:c r="I101" s="14"/>
      <x:c r="J101" s="14"/>
      <x:c r="K101" s="14"/>
      <x:c r="L101" s="14"/>
      <x:c r="M101" s="14"/>
      <x:c r="N101" s="2"/>
      <x:c r="O101" s="2"/>
      <x:c r="P101" s="2"/>
      <x:c r="Q101" s="2"/>
    </x:row>
    <x:row r="102" ht="23" customHeight="1">
      <x:c r="A102" s="2"/>
      <x:c r="B102" s="2"/>
      <x:c r="C102" s="2"/>
      <x:c r="D102" s="2"/>
      <x:c r="E102" s="2"/>
      <x:c r="F102" s="14"/>
      <x:c r="G102" s="14"/>
      <x:c r="H102" s="14"/>
      <x:c r="I102" s="14"/>
      <x:c r="J102" s="14"/>
      <x:c r="K102" s="14"/>
      <x:c r="L102" s="14"/>
      <x:c r="M102" s="14"/>
      <x:c r="N102" s="2"/>
      <x:c r="O102" s="2"/>
      <x:c r="P102" s="2"/>
      <x:c r="Q102" s="2"/>
    </x:row>
    <x:row r="103" ht="23" customHeight="1">
      <x:c r="A103" s="2"/>
      <x:c r="B103" s="2"/>
      <x:c r="C103" s="2"/>
      <x:c r="D103" s="2"/>
      <x:c r="E103" s="2"/>
      <x:c r="F103" s="14"/>
      <x:c r="G103" s="14"/>
      <x:c r="H103" s="14"/>
      <x:c r="I103" s="14"/>
      <x:c r="J103" s="14"/>
      <x:c r="K103" s="14"/>
      <x:c r="L103" s="14"/>
      <x:c r="M103" s="14"/>
      <x:c r="N103" s="2"/>
      <x:c r="O103" s="2"/>
      <x:c r="P103" s="2"/>
      <x:c r="Q103" s="2"/>
    </x:row>
    <x:row r="104" ht="23" customHeight="1">
      <x:c r="A104" s="2"/>
      <x:c r="B104" s="2"/>
      <x:c r="C104" s="2"/>
      <x:c r="D104" s="2"/>
      <x:c r="E104" s="2"/>
      <x:c r="F104" s="14"/>
      <x:c r="G104" s="14"/>
      <x:c r="H104" s="14"/>
      <x:c r="I104" s="14"/>
      <x:c r="J104" s="14"/>
      <x:c r="K104" s="14"/>
      <x:c r="L104" s="14"/>
      <x:c r="M104" s="14"/>
      <x:c r="N104" s="2"/>
      <x:c r="O104" s="2"/>
      <x:c r="P104" s="2"/>
      <x:c r="Q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</x:sheetData>
  <x:pageMargins left="0.7" right="0.7" top="0.75" bottom="0.75" header="0.3" footer="0.3"/>
</x:worksheet>
</file>